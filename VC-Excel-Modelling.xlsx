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macbook/Desktop/"/>
    </mc:Choice>
  </mc:AlternateContent>
  <xr:revisionPtr revIDLastSave="0" documentId="8_{64431A5E-DD33-5E42-98DF-1BE512BAF329}" xr6:coauthVersionLast="47" xr6:coauthVersionMax="47" xr10:uidLastSave="{00000000-0000-0000-0000-000000000000}"/>
  <bookViews>
    <workbookView xWindow="0" yWindow="500" windowWidth="28800" windowHeight="15980" activeTab="7" xr2:uid="{98183A12-DF5D-AE41-A9C3-7E7D91E2C8CC}"/>
  </bookViews>
  <sheets>
    <sheet name="Sheet3" sheetId="4" state="hidden" r:id="rId1"/>
    <sheet name="Comparables " sheetId="1" r:id="rId2"/>
    <sheet name="DCF Valuation" sheetId="6" r:id="rId3"/>
    <sheet name="Sheet2" sheetId="3" state="hidden" r:id="rId4"/>
    <sheet name="First Chicago" sheetId="7" r:id="rId5"/>
    <sheet name="VC Method" sheetId="9" r:id="rId6"/>
    <sheet name="Final Valuation" sheetId="8" r:id="rId7"/>
    <sheet name="Cap Table" sheetId="10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1" i="7" l="1"/>
  <c r="C41" i="7" l="1"/>
  <c r="C39" i="7"/>
  <c r="C38" i="7"/>
  <c r="C75" i="7"/>
  <c r="C4" i="7"/>
  <c r="C10" i="6" l="1"/>
  <c r="C15" i="8"/>
  <c r="D4" i="10"/>
  <c r="D7" i="10" s="1"/>
  <c r="C52" i="7"/>
  <c r="D52" i="7" s="1"/>
  <c r="E52" i="7" s="1"/>
  <c r="F52" i="7" s="1"/>
  <c r="G52" i="7" s="1"/>
  <c r="H52" i="7" s="1"/>
  <c r="C49" i="7"/>
  <c r="D24" i="7"/>
  <c r="E24" i="7"/>
  <c r="F24" i="7"/>
  <c r="G24" i="7"/>
  <c r="H24" i="7"/>
  <c r="C24" i="7"/>
  <c r="C83" i="6"/>
  <c r="H85" i="6"/>
  <c r="G85" i="6"/>
  <c r="F85" i="6"/>
  <c r="E85" i="6"/>
  <c r="D85" i="6"/>
  <c r="C85" i="6"/>
  <c r="D61" i="6"/>
  <c r="E61" i="6"/>
  <c r="F61" i="6"/>
  <c r="G61" i="6"/>
  <c r="H61" i="6"/>
  <c r="C61" i="6"/>
  <c r="C8" i="6"/>
  <c r="C17" i="6"/>
  <c r="C18" i="6" s="1"/>
  <c r="C49" i="6"/>
  <c r="D49" i="6" s="1"/>
  <c r="H83" i="6"/>
  <c r="G83" i="6"/>
  <c r="F83" i="6"/>
  <c r="E83" i="6"/>
  <c r="D83" i="6"/>
  <c r="B91" i="6"/>
  <c r="B90" i="6" s="1"/>
  <c r="F25" i="6"/>
  <c r="F36" i="6"/>
  <c r="F35" i="6"/>
  <c r="E36" i="6"/>
  <c r="E35" i="6"/>
  <c r="Q8" i="4"/>
  <c r="Q7" i="4"/>
  <c r="C33" i="4"/>
  <c r="E13" i="4"/>
  <c r="E18" i="4" s="1"/>
  <c r="E23" i="4" s="1"/>
  <c r="F13" i="4"/>
  <c r="F18" i="4" s="1"/>
  <c r="G13" i="4"/>
  <c r="G18" i="4" s="1"/>
  <c r="H13" i="4"/>
  <c r="H18" i="4" s="1"/>
  <c r="H20" i="4" s="1"/>
  <c r="D13" i="4"/>
  <c r="D18" i="4" s="1"/>
  <c r="D23" i="4"/>
  <c r="E22" i="4"/>
  <c r="F22" i="4"/>
  <c r="F23" i="4" s="1"/>
  <c r="G22" i="4"/>
  <c r="H22" i="4"/>
  <c r="D22" i="4"/>
  <c r="D21" i="3"/>
  <c r="N18" i="3"/>
  <c r="L37" i="3"/>
  <c r="F35" i="3"/>
  <c r="F34" i="3"/>
  <c r="F33" i="3"/>
  <c r="C35" i="3"/>
  <c r="C34" i="3"/>
  <c r="F19" i="3"/>
  <c r="G19" i="3"/>
  <c r="H19" i="3"/>
  <c r="I19" i="3"/>
  <c r="E23" i="3"/>
  <c r="F23" i="3"/>
  <c r="G23" i="3"/>
  <c r="H23" i="3"/>
  <c r="I23" i="3"/>
  <c r="D23" i="3"/>
  <c r="E21" i="3"/>
  <c r="F21" i="3"/>
  <c r="F25" i="3" s="1"/>
  <c r="G21" i="3"/>
  <c r="G25" i="3" s="1"/>
  <c r="H21" i="3"/>
  <c r="H25" i="3" s="1"/>
  <c r="I21" i="3"/>
  <c r="E18" i="3"/>
  <c r="F18" i="3" s="1"/>
  <c r="G18" i="3" s="1"/>
  <c r="H18" i="3" s="1"/>
  <c r="I18" i="3" s="1"/>
  <c r="D17" i="3"/>
  <c r="E19" i="3" s="1"/>
  <c r="C17" i="3"/>
  <c r="C5" i="1"/>
  <c r="G29" i="1" s="1"/>
  <c r="J30" i="1"/>
  <c r="L17" i="1"/>
  <c r="L27" i="1" s="1"/>
  <c r="C11" i="9" s="1"/>
  <c r="K17" i="1"/>
  <c r="K27" i="1" s="1"/>
  <c r="D27" i="1"/>
  <c r="E27" i="1"/>
  <c r="F27" i="1"/>
  <c r="G27" i="1"/>
  <c r="H27" i="1"/>
  <c r="I27" i="1"/>
  <c r="J27" i="1"/>
  <c r="M27" i="1"/>
  <c r="C27" i="1"/>
  <c r="B27" i="1"/>
  <c r="B26" i="1"/>
  <c r="B30" i="1"/>
  <c r="B29" i="1"/>
  <c r="B28" i="1"/>
  <c r="F28" i="1"/>
  <c r="J29" i="1"/>
  <c r="J28" i="1"/>
  <c r="F30" i="1"/>
  <c r="H29" i="1"/>
  <c r="H28" i="1"/>
  <c r="F29" i="1"/>
  <c r="M28" i="1"/>
  <c r="M29" i="1"/>
  <c r="M26" i="1"/>
  <c r="J26" i="1"/>
  <c r="D25" i="1"/>
  <c r="E25" i="1"/>
  <c r="F25" i="1"/>
  <c r="G25" i="1"/>
  <c r="H25" i="1"/>
  <c r="I25" i="1"/>
  <c r="J25" i="1"/>
  <c r="K25" i="1"/>
  <c r="L25" i="1"/>
  <c r="M25" i="1"/>
  <c r="C25" i="1"/>
  <c r="H26" i="1"/>
  <c r="F26" i="1"/>
  <c r="C4" i="1"/>
  <c r="G26" i="1" s="1"/>
  <c r="L19" i="1"/>
  <c r="L29" i="1" s="1"/>
  <c r="K19" i="1"/>
  <c r="K29" i="1" s="1"/>
  <c r="L18" i="1"/>
  <c r="L28" i="1" s="1"/>
  <c r="C12" i="9" s="1"/>
  <c r="K18" i="1"/>
  <c r="K28" i="1" s="1"/>
  <c r="L16" i="1"/>
  <c r="L26" i="1" s="1"/>
  <c r="K16" i="1"/>
  <c r="K26" i="1" s="1"/>
  <c r="D28" i="1" l="1"/>
  <c r="I28" i="1"/>
  <c r="G23" i="4"/>
  <c r="C16" i="6"/>
  <c r="C19" i="6" s="1"/>
  <c r="C48" i="7"/>
  <c r="C57" i="7" s="1"/>
  <c r="D57" i="7" s="1"/>
  <c r="E57" i="7" s="1"/>
  <c r="F57" i="7" s="1"/>
  <c r="G57" i="7" s="1"/>
  <c r="H57" i="7" s="1"/>
  <c r="F36" i="3"/>
  <c r="C26" i="3" s="1"/>
  <c r="C28" i="3" s="1"/>
  <c r="I25" i="3"/>
  <c r="N17" i="3" s="1"/>
  <c r="D25" i="3"/>
  <c r="D19" i="3"/>
  <c r="D27" i="3" s="1"/>
  <c r="G27" i="3"/>
  <c r="E28" i="1"/>
  <c r="E25" i="3"/>
  <c r="C33" i="3" s="1"/>
  <c r="C36" i="3" s="1"/>
  <c r="C38" i="3" s="1"/>
  <c r="B92" i="6"/>
  <c r="C8" i="7"/>
  <c r="C17" i="7" s="1"/>
  <c r="D17" i="7" s="1"/>
  <c r="E17" i="7" s="1"/>
  <c r="F17" i="7" s="1"/>
  <c r="G17" i="7" s="1"/>
  <c r="H17" i="7" s="1"/>
  <c r="E49" i="6"/>
  <c r="F49" i="6" s="1"/>
  <c r="G49" i="6" s="1"/>
  <c r="H49" i="6" s="1"/>
  <c r="D64" i="7"/>
  <c r="E64" i="7"/>
  <c r="F64" i="7"/>
  <c r="G64" i="7"/>
  <c r="H64" i="7"/>
  <c r="C64" i="7"/>
  <c r="C40" i="7"/>
  <c r="C45" i="7" s="1"/>
  <c r="C5" i="7"/>
  <c r="C11" i="6"/>
  <c r="C50" i="6" s="1"/>
  <c r="C51" i="6" s="1"/>
  <c r="E52" i="6"/>
  <c r="F52" i="6"/>
  <c r="G52" i="6"/>
  <c r="H52" i="6"/>
  <c r="C52" i="6"/>
  <c r="D52" i="6"/>
  <c r="C54" i="6"/>
  <c r="G35" i="6"/>
  <c r="G36" i="6"/>
  <c r="H23" i="4"/>
  <c r="C26" i="4"/>
  <c r="C25" i="4"/>
  <c r="C27" i="4" s="1"/>
  <c r="C31" i="4" s="1"/>
  <c r="C34" i="4" s="1"/>
  <c r="D34" i="4" s="1"/>
  <c r="D28" i="3"/>
  <c r="F27" i="3"/>
  <c r="F28" i="3"/>
  <c r="G28" i="3"/>
  <c r="I27" i="3"/>
  <c r="H27" i="3"/>
  <c r="N19" i="3"/>
  <c r="I28" i="3"/>
  <c r="H28" i="3"/>
  <c r="I30" i="1"/>
  <c r="C36" i="1" s="1"/>
  <c r="G30" i="1"/>
  <c r="C37" i="1" s="1"/>
  <c r="D29" i="1"/>
  <c r="I29" i="1"/>
  <c r="I26" i="1"/>
  <c r="D26" i="1"/>
  <c r="C28" i="1"/>
  <c r="C26" i="1"/>
  <c r="C29" i="1"/>
  <c r="E26" i="1"/>
  <c r="G28" i="1"/>
  <c r="E30" i="1"/>
  <c r="E29" i="1"/>
  <c r="C42" i="7" l="1"/>
  <c r="L33" i="3"/>
  <c r="L38" i="3"/>
  <c r="L39" i="3" s="1"/>
  <c r="C53" i="6"/>
  <c r="C60" i="6" s="1"/>
  <c r="C35" i="1"/>
  <c r="C4" i="9"/>
  <c r="C6" i="9" s="1"/>
  <c r="E28" i="3"/>
  <c r="E27" i="3"/>
  <c r="C12" i="7" a="1"/>
  <c r="C12" i="7" s="1"/>
  <c r="D54" i="6"/>
  <c r="E54" i="6" s="1"/>
  <c r="F54" i="6" s="1"/>
  <c r="G54" i="6" s="1"/>
  <c r="H54" i="6" s="1"/>
  <c r="C46" i="7"/>
  <c r="C13" i="7"/>
  <c r="C62" i="6"/>
  <c r="C55" i="6"/>
  <c r="C39" i="6"/>
  <c r="C40" i="6" s="1"/>
  <c r="C53" i="7" l="1"/>
  <c r="C54" i="7" s="1"/>
  <c r="C56" i="7" s="1"/>
  <c r="C63" i="7" s="1"/>
  <c r="D12" i="9"/>
  <c r="D11" i="9"/>
  <c r="E42" i="1"/>
  <c r="E43" i="1" s="1"/>
  <c r="E44" i="1" s="1"/>
  <c r="D42" i="1"/>
  <c r="D43" i="1" s="1"/>
  <c r="D44" i="1" s="1"/>
  <c r="E3" i="8" s="1"/>
  <c r="C42" i="1"/>
  <c r="C43" i="1" s="1"/>
  <c r="C44" i="1" s="1"/>
  <c r="C3" i="8" s="1"/>
  <c r="C14" i="7"/>
  <c r="D13" i="7"/>
  <c r="C43" i="6"/>
  <c r="H65" i="6" s="1"/>
  <c r="C57" i="6"/>
  <c r="C58" i="6" s="1"/>
  <c r="C64" i="6" s="1"/>
  <c r="D53" i="7" l="1"/>
  <c r="E53" i="7" s="1"/>
  <c r="F53" i="7" s="1"/>
  <c r="G53" i="7" s="1"/>
  <c r="H53" i="7" s="1"/>
  <c r="G65" i="6"/>
  <c r="D3" i="8"/>
  <c r="F3" i="8"/>
  <c r="E11" i="9"/>
  <c r="F11" i="9" s="1"/>
  <c r="G11" i="9" s="1"/>
  <c r="C4" i="8" s="1"/>
  <c r="E12" i="9"/>
  <c r="F12" i="9" s="1"/>
  <c r="G12" i="9" s="1"/>
  <c r="E4" i="8" s="1"/>
  <c r="C71" i="6"/>
  <c r="H68" i="7"/>
  <c r="C28" i="7"/>
  <c r="H28" i="7"/>
  <c r="G28" i="7"/>
  <c r="F28" i="7"/>
  <c r="K67" i="7"/>
  <c r="G68" i="7"/>
  <c r="C68" i="7"/>
  <c r="D68" i="7"/>
  <c r="D28" i="7"/>
  <c r="K27" i="7"/>
  <c r="F68" i="7"/>
  <c r="E68" i="7"/>
  <c r="E28" i="7"/>
  <c r="C65" i="6"/>
  <c r="C66" i="6" s="1"/>
  <c r="D65" i="6"/>
  <c r="E65" i="6"/>
  <c r="F65" i="6"/>
  <c r="D14" i="7"/>
  <c r="E13" i="7"/>
  <c r="D54" i="7"/>
  <c r="D56" i="7" s="1"/>
  <c r="D63" i="7" s="1"/>
  <c r="C65" i="7"/>
  <c r="C58" i="7"/>
  <c r="C60" i="7" s="1"/>
  <c r="C61" i="7" s="1"/>
  <c r="C67" i="7" l="1"/>
  <c r="C69" i="7" s="1"/>
  <c r="F4" i="8"/>
  <c r="D4" i="8"/>
  <c r="E54" i="7"/>
  <c r="E56" i="7" s="1"/>
  <c r="D65" i="7"/>
  <c r="D58" i="7"/>
  <c r="D60" i="7" s="1"/>
  <c r="D61" i="7" s="1"/>
  <c r="D67" i="7" s="1"/>
  <c r="D69" i="7" s="1"/>
  <c r="E14" i="7"/>
  <c r="F13" i="7"/>
  <c r="F14" i="7" l="1"/>
  <c r="G13" i="7"/>
  <c r="F54" i="7"/>
  <c r="F56" i="7" s="1"/>
  <c r="E63" i="7"/>
  <c r="E65" i="7" s="1"/>
  <c r="E58" i="7"/>
  <c r="E60" i="7" s="1"/>
  <c r="E61" i="7" s="1"/>
  <c r="E67" i="7" l="1"/>
  <c r="E69" i="7" s="1"/>
  <c r="G54" i="7"/>
  <c r="G56" i="7" s="1"/>
  <c r="H54" i="7"/>
  <c r="H56" i="7" s="1"/>
  <c r="F63" i="7"/>
  <c r="F65" i="7" s="1"/>
  <c r="F58" i="7"/>
  <c r="F60" i="7" s="1"/>
  <c r="F61" i="7" s="1"/>
  <c r="G14" i="7"/>
  <c r="H13" i="7"/>
  <c r="H14" i="7" s="1"/>
  <c r="F67" i="7" l="1"/>
  <c r="F69" i="7" s="1"/>
  <c r="H63" i="7"/>
  <c r="H65" i="7" s="1"/>
  <c r="H58" i="7"/>
  <c r="G63" i="7"/>
  <c r="G65" i="7" s="1"/>
  <c r="G58" i="7"/>
  <c r="G60" i="7" s="1"/>
  <c r="G61" i="7" s="1"/>
  <c r="G67" i="7" s="1"/>
  <c r="G69" i="7" s="1"/>
  <c r="H60" i="7" l="1"/>
  <c r="H61" i="7" s="1"/>
  <c r="H67" i="7" s="1"/>
  <c r="H69" i="7" s="1"/>
  <c r="H70" i="7" s="1"/>
  <c r="C76" i="7" s="1"/>
  <c r="K69" i="7" l="1"/>
  <c r="K70" i="7" s="1"/>
  <c r="D76" i="7" s="1"/>
  <c r="E76" i="7" s="1"/>
  <c r="G76" i="7" s="1"/>
  <c r="D50" i="6" l="1"/>
  <c r="E50" i="6" l="1"/>
  <c r="D51" i="6"/>
  <c r="D53" i="6" s="1"/>
  <c r="D60" i="6" s="1"/>
  <c r="D62" i="6" l="1"/>
  <c r="D55" i="6"/>
  <c r="F50" i="6"/>
  <c r="E51" i="6"/>
  <c r="E53" i="6" s="1"/>
  <c r="E60" i="6" l="1"/>
  <c r="E62" i="6" s="1"/>
  <c r="E55" i="6"/>
  <c r="G50" i="6"/>
  <c r="F51" i="6"/>
  <c r="F53" i="6" s="1"/>
  <c r="D57" i="6"/>
  <c r="D58" i="6" s="1"/>
  <c r="D64" i="6" s="1"/>
  <c r="D66" i="6" l="1"/>
  <c r="F60" i="6"/>
  <c r="F62" i="6" s="1"/>
  <c r="F55" i="6"/>
  <c r="H50" i="6"/>
  <c r="H51" i="6" s="1"/>
  <c r="H53" i="6" s="1"/>
  <c r="G51" i="6"/>
  <c r="G53" i="6" s="1"/>
  <c r="E57" i="6"/>
  <c r="E58" i="6" s="1"/>
  <c r="E64" i="6" s="1"/>
  <c r="H60" i="6" l="1"/>
  <c r="H62" i="6" s="1"/>
  <c r="E66" i="6"/>
  <c r="G60" i="6"/>
  <c r="G62" i="6" s="1"/>
  <c r="G55" i="6"/>
  <c r="H55" i="6"/>
  <c r="F57" i="6"/>
  <c r="F58" i="6" s="1"/>
  <c r="F64" i="6" s="1"/>
  <c r="F66" i="6" l="1"/>
  <c r="H57" i="6"/>
  <c r="H58" i="6" s="1"/>
  <c r="H64" i="6" s="1"/>
  <c r="G57" i="6"/>
  <c r="G58" i="6" s="1"/>
  <c r="G64" i="6" s="1"/>
  <c r="C82" i="6" s="1" a="1"/>
  <c r="C82" i="6" s="1"/>
  <c r="C73" i="6" l="1"/>
  <c r="C74" i="6" s="1"/>
  <c r="D75" i="7" s="1"/>
  <c r="G66" i="6"/>
  <c r="H66" i="6"/>
  <c r="H67" i="6" l="1"/>
  <c r="E75" i="7" s="1"/>
  <c r="G75" i="7" s="1"/>
  <c r="D84" i="6"/>
  <c r="E84" i="6"/>
  <c r="F84" i="6"/>
  <c r="G84" i="6"/>
  <c r="H84" i="6"/>
  <c r="D92" i="6"/>
  <c r="D90" i="6"/>
  <c r="H86" i="6"/>
  <c r="G86" i="6"/>
  <c r="F86" i="6"/>
  <c r="E86" i="6"/>
  <c r="D86" i="6"/>
  <c r="C84" i="6"/>
  <c r="C75" i="6" l="1"/>
  <c r="E90" i="6"/>
  <c r="C5" i="8" s="1"/>
  <c r="C86" i="6"/>
  <c r="C76" i="6"/>
  <c r="C92" i="6" l="1"/>
  <c r="E5" i="8" s="1"/>
  <c r="C91" i="6"/>
  <c r="C90" i="6"/>
  <c r="E92" i="6"/>
  <c r="E91" i="6"/>
  <c r="D91" i="6"/>
  <c r="C77" i="6"/>
  <c r="F5" i="8" l="1"/>
  <c r="C6" i="8"/>
  <c r="D5" i="8"/>
  <c r="C16" i="7"/>
  <c r="C18" i="7" l="1"/>
  <c r="C20" i="7" s="1"/>
  <c r="C23" i="7"/>
  <c r="C25" i="7" s="1"/>
  <c r="C21" i="7"/>
  <c r="C27" i="7" l="1"/>
  <c r="C29" i="7" s="1"/>
  <c r="D16" i="7"/>
  <c r="D23" i="7" s="1"/>
  <c r="D18" i="7" l="1"/>
  <c r="D20" i="7" s="1"/>
  <c r="D25" i="7"/>
  <c r="E16" i="7"/>
  <c r="E18" i="7" l="1"/>
  <c r="E20" i="7" s="1"/>
  <c r="E23" i="7"/>
  <c r="E25" i="7" s="1"/>
  <c r="F16" i="7"/>
  <c r="D21" i="7"/>
  <c r="D27" i="7" s="1"/>
  <c r="D29" i="7" s="1"/>
  <c r="F18" i="7" l="1"/>
  <c r="F20" i="7" s="1"/>
  <c r="F23" i="7"/>
  <c r="F25" i="7" s="1"/>
  <c r="H16" i="7"/>
  <c r="G16" i="7"/>
  <c r="E21" i="7"/>
  <c r="E27" i="7" s="1"/>
  <c r="E29" i="7" s="1"/>
  <c r="G18" i="7" l="1"/>
  <c r="G20" i="7" s="1"/>
  <c r="G23" i="7"/>
  <c r="G25" i="7" s="1"/>
  <c r="H18" i="7"/>
  <c r="H20" i="7" s="1"/>
  <c r="H23" i="7"/>
  <c r="H25" i="7" s="1"/>
  <c r="F21" i="7"/>
  <c r="F27" i="7" s="1"/>
  <c r="F29" i="7" s="1"/>
  <c r="H21" i="7" l="1"/>
  <c r="H27" i="7" s="1"/>
  <c r="G21" i="7"/>
  <c r="G27" i="7" s="1"/>
  <c r="G29" i="7" s="1"/>
  <c r="H29" i="7" l="1"/>
  <c r="H30" i="7" s="1"/>
  <c r="C74" i="7" s="1"/>
  <c r="K29" i="7"/>
  <c r="K30" i="7" s="1"/>
  <c r="D74" i="7" s="1"/>
  <c r="E74" i="7" l="1"/>
  <c r="G74" i="7" s="1"/>
  <c r="C80" i="7" s="1"/>
  <c r="C82" i="7" l="1"/>
  <c r="F6" i="8" l="1"/>
  <c r="C14" i="8" s="1"/>
  <c r="C16" i="8" s="1"/>
  <c r="C6" i="10" s="1"/>
  <c r="E6" i="8"/>
  <c r="D6" i="8" s="1"/>
  <c r="F6" i="10" l="1"/>
  <c r="E6" i="10"/>
  <c r="F7" i="10"/>
  <c r="G5" i="10" l="1"/>
  <c r="G4" i="10"/>
  <c r="G6" i="10"/>
  <c r="G7" i="10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<sst xmlns="http://schemas.openxmlformats.org/spreadsheetml/2006/main" count="419" uniqueCount="303">
  <si>
    <t>total debt</t>
  </si>
  <si>
    <t>Assumptions</t>
  </si>
  <si>
    <t>Discount Rate</t>
  </si>
  <si>
    <t>total equity</t>
  </si>
  <si>
    <t xml:space="preserve">Tax rate </t>
  </si>
  <si>
    <t>Interest Exp</t>
  </si>
  <si>
    <t xml:space="preserve">Long term growth rate </t>
  </si>
  <si>
    <t xml:space="preserve">Discount rate </t>
  </si>
  <si>
    <t>cost of debt</t>
  </si>
  <si>
    <t xml:space="preserve">Share price </t>
  </si>
  <si>
    <t xml:space="preserve">Shares outstanding </t>
  </si>
  <si>
    <t xml:space="preserve">Year count </t>
  </si>
  <si>
    <t xml:space="preserve">EBIT </t>
  </si>
  <si>
    <t xml:space="preserve">Tax on EBIT </t>
  </si>
  <si>
    <t xml:space="preserve">+ Depreciation and amortization </t>
  </si>
  <si>
    <t xml:space="preserve">- Capital expenditure </t>
  </si>
  <si>
    <t xml:space="preserve">Change in Net working capital </t>
  </si>
  <si>
    <t> </t>
  </si>
  <si>
    <t>Others</t>
  </si>
  <si>
    <t xml:space="preserve">Free cash flow </t>
  </si>
  <si>
    <t xml:space="preserve">Terminal value </t>
  </si>
  <si>
    <t>Discount factor @ 15%</t>
  </si>
  <si>
    <t xml:space="preserve">Present value of free cash flows </t>
  </si>
  <si>
    <t xml:space="preserve">Sum of present value of free cash flows </t>
  </si>
  <si>
    <t xml:space="preserve">Present value of terminal value </t>
  </si>
  <si>
    <t xml:space="preserve">Enterprise value </t>
  </si>
  <si>
    <t xml:space="preserve">+ Cash </t>
  </si>
  <si>
    <t xml:space="preserve">- Debt </t>
  </si>
  <si>
    <t xml:space="preserve">Implied equity value (intrinsic value) </t>
  </si>
  <si>
    <t xml:space="preserve">Market capitalization </t>
  </si>
  <si>
    <t xml:space="preserve">Intrinsic value premium to market capitalization </t>
  </si>
  <si>
    <t xml:space="preserve">PAYPAY - COMPARABLE COMPANIES VALUATION </t>
  </si>
  <si>
    <t>Exchange Rates</t>
  </si>
  <si>
    <t>Source</t>
  </si>
  <si>
    <t>JPY / USD</t>
  </si>
  <si>
    <t>Bloomberg</t>
  </si>
  <si>
    <t xml:space="preserve">KRW / USD </t>
  </si>
  <si>
    <t xml:space="preserve">Valuation Inputs </t>
  </si>
  <si>
    <t>Notes</t>
  </si>
  <si>
    <t>Primary multiple</t>
  </si>
  <si>
    <t>EV / Revenue</t>
  </si>
  <si>
    <t>Revenue multiple stays relatively more stable across comps</t>
  </si>
  <si>
    <t>Secondary multiple</t>
  </si>
  <si>
    <t xml:space="preserve">EV / EBITDA </t>
  </si>
  <si>
    <t>Captures differences in margin</t>
  </si>
  <si>
    <t>Illiquidity discount</t>
  </si>
  <si>
    <t>Due to PayPay being private</t>
  </si>
  <si>
    <t>COMPARABLE COMPANIES DATA - LOCAL CURRENCY</t>
  </si>
  <si>
    <t>All figures in local currency (JPY billions PayPay, KRW billions for KakaoPay, USD Millions for Shift4)</t>
  </si>
  <si>
    <t>Company</t>
  </si>
  <si>
    <t>Market Cap</t>
  </si>
  <si>
    <t>EV</t>
  </si>
  <si>
    <t>Revenue (Last financial yr)</t>
  </si>
  <si>
    <t>Revenue Growth (%)</t>
  </si>
  <si>
    <t>Net Debt</t>
  </si>
  <si>
    <t>Net Debt/Equity (%)</t>
  </si>
  <si>
    <t>EBITDA</t>
  </si>
  <si>
    <t>Operating Margin (%)</t>
  </si>
  <si>
    <t>EV/EBITDA</t>
  </si>
  <si>
    <t>EV/Revenue</t>
  </si>
  <si>
    <t>Beta</t>
  </si>
  <si>
    <t>GMO Payment Gateway</t>
  </si>
  <si>
    <t xml:space="preserve">Shift4 Payments, Inc. </t>
  </si>
  <si>
    <t>Factset</t>
  </si>
  <si>
    <t>KakaoPay Corp.</t>
  </si>
  <si>
    <t xml:space="preserve">NHN KCP Corp. </t>
  </si>
  <si>
    <t>PayPay</t>
  </si>
  <si>
    <t>PayPay F-1 Form</t>
  </si>
  <si>
    <t>COMPARABLE COMPANIES DATA - USD</t>
  </si>
  <si>
    <t>All figures in USD millions</t>
  </si>
  <si>
    <t>PAYPAY FINANCIALS</t>
  </si>
  <si>
    <t>Item</t>
  </si>
  <si>
    <t>Value</t>
  </si>
  <si>
    <t>Revenue</t>
  </si>
  <si>
    <t>EBITDA (adjusted)</t>
  </si>
  <si>
    <t>Borrowings (as at Dec 2025) - Cash</t>
  </si>
  <si>
    <t>FINAL COMPARABLES VALUATION</t>
  </si>
  <si>
    <t>Min</t>
  </si>
  <si>
    <t>Max</t>
  </si>
  <si>
    <t>Average</t>
  </si>
  <si>
    <t>Implied EV</t>
  </si>
  <si>
    <t>EV/Rev * PayPay Revenue</t>
  </si>
  <si>
    <t>Equity Value (pre-money)</t>
  </si>
  <si>
    <t>Implied EV - Net Debt</t>
  </si>
  <si>
    <t>Discounted Value</t>
  </si>
  <si>
    <t>Applying illiquidity discount</t>
  </si>
  <si>
    <t>PAYPAY - DCF VALUATION</t>
  </si>
  <si>
    <t>Market Assumptions (2025)</t>
  </si>
  <si>
    <t xml:space="preserve">Digital Payment Market Size </t>
  </si>
  <si>
    <t>USD Billions (Japanese market)</t>
  </si>
  <si>
    <t>Mordor Intelligence 2026</t>
  </si>
  <si>
    <t>Market CAGR</t>
  </si>
  <si>
    <t xml:space="preserve">Mobile Wallet Market Segment </t>
  </si>
  <si>
    <t>Out of digital payments market</t>
  </si>
  <si>
    <t>PayPay's segment share</t>
  </si>
  <si>
    <t>In mobile wallet segment</t>
  </si>
  <si>
    <t>PayPay  F-1 Form</t>
  </si>
  <si>
    <t>PayPay's market share</t>
  </si>
  <si>
    <t>PayPay segment share*mobile wallet market segment</t>
  </si>
  <si>
    <t>PayPay expected segment share by 2031</t>
  </si>
  <si>
    <t>In mobile wallet segment (2031)</t>
  </si>
  <si>
    <t>PayPay's market share (2031)</t>
  </si>
  <si>
    <t>PayPay expected segment share*mobile wallet segment</t>
  </si>
  <si>
    <t>Market Share CAGR</t>
  </si>
  <si>
    <t>(exp.market share/current market share)^(1/6)-1</t>
  </si>
  <si>
    <t>Valuation Inputs (2025)</t>
  </si>
  <si>
    <t>GMV (JPY)</t>
  </si>
  <si>
    <t>Gross Merchandise Value</t>
  </si>
  <si>
    <t>GMV (USD)</t>
  </si>
  <si>
    <t>GMV (JPY)*(JPY/USD) rate</t>
  </si>
  <si>
    <t>Pretax Margin</t>
  </si>
  <si>
    <t>Operating margins</t>
  </si>
  <si>
    <t>Margin CAGR</t>
  </si>
  <si>
    <t>(Expected margin (peer benchmark) / Current margin)^(1/6)-1</t>
  </si>
  <si>
    <t>USD Billions</t>
  </si>
  <si>
    <t xml:space="preserve">Book Debt </t>
  </si>
  <si>
    <t>JPY Millions</t>
  </si>
  <si>
    <t xml:space="preserve">Book Equity </t>
  </si>
  <si>
    <t>Tax Rate</t>
  </si>
  <si>
    <t>Assumption</t>
  </si>
  <si>
    <t>PayPay Take Rates</t>
  </si>
  <si>
    <t>Take Rate</t>
  </si>
  <si>
    <t>PEER BENCHMARKS</t>
  </si>
  <si>
    <t>PayPal</t>
  </si>
  <si>
    <t>Sales-to-capital ratio</t>
  </si>
  <si>
    <t>Debt</t>
  </si>
  <si>
    <t>Equity</t>
  </si>
  <si>
    <t>D/E</t>
  </si>
  <si>
    <t>Beta (Levered)</t>
  </si>
  <si>
    <t>Beta (Unlevered)</t>
  </si>
  <si>
    <t>Shift 4</t>
  </si>
  <si>
    <t>Kakaopay</t>
  </si>
  <si>
    <t>Input</t>
  </si>
  <si>
    <t>Average beta (unlevered)</t>
  </si>
  <si>
    <t>Average beta (levered)</t>
  </si>
  <si>
    <t>Risk free rate</t>
  </si>
  <si>
    <t>Market Risk Premia 2026</t>
  </si>
  <si>
    <t>Market Risk Premium</t>
  </si>
  <si>
    <t>DISCOUNTED CASHFLOW (DCF) VALUATION</t>
  </si>
  <si>
    <t>Total Market</t>
  </si>
  <si>
    <t>Market Share</t>
  </si>
  <si>
    <t>GMV</t>
  </si>
  <si>
    <t>EBIT</t>
  </si>
  <si>
    <t>Taxes</t>
  </si>
  <si>
    <t>EBIAT</t>
  </si>
  <si>
    <t>Changes in revenue</t>
  </si>
  <si>
    <t>Sales/Capital</t>
  </si>
  <si>
    <t>Reinvestment</t>
  </si>
  <si>
    <t>FCFF</t>
  </si>
  <si>
    <t>DF @ 8.96%</t>
  </si>
  <si>
    <t>PV(FCFF)</t>
  </si>
  <si>
    <t>Total PV</t>
  </si>
  <si>
    <t>TERMINAL VALUE (TV)</t>
  </si>
  <si>
    <t>Discount rate (r)</t>
  </si>
  <si>
    <t>Terminal growth rate (g)</t>
  </si>
  <si>
    <t>Assuming a 3% terminal growth rate for the market</t>
  </si>
  <si>
    <t>Terminal Value (TV)</t>
  </si>
  <si>
    <t>PV(TV)</t>
  </si>
  <si>
    <t>Equity Value</t>
  </si>
  <si>
    <t>Equity Value (after discount)</t>
  </si>
  <si>
    <t>SENSITIVITY ANALYSIS (ON EQUITY VALUE)</t>
  </si>
  <si>
    <t>DF @12%</t>
  </si>
  <si>
    <t>PV</t>
  </si>
  <si>
    <t>DF @6%</t>
  </si>
  <si>
    <t xml:space="preserve">                                                WACC
Terminal growth</t>
  </si>
  <si>
    <t>Discount cash flow</t>
  </si>
  <si>
    <t xml:space="preserve"> Tax Rate </t>
  </si>
  <si>
    <t xml:space="preserve"> Discount Rate </t>
  </si>
  <si>
    <t xml:space="preserve"> Perpetural Growth Rate </t>
  </si>
  <si>
    <t xml:space="preserve"> EV/EBITDA Mulltiple </t>
  </si>
  <si>
    <t>33.8x</t>
  </si>
  <si>
    <t>Transaction Date</t>
  </si>
  <si>
    <t>Fiscal Year End</t>
  </si>
  <si>
    <t xml:space="preserve"> Current Price </t>
  </si>
  <si>
    <t xml:space="preserve"> Shares Outstanding </t>
  </si>
  <si>
    <t xml:space="preserve"> Debt </t>
  </si>
  <si>
    <t xml:space="preserve"> Cash </t>
  </si>
  <si>
    <t xml:space="preserve"> Capex </t>
  </si>
  <si>
    <t>Entry</t>
  </si>
  <si>
    <t>Exit</t>
  </si>
  <si>
    <t>Terminal Value</t>
  </si>
  <si>
    <t>Date</t>
  </si>
  <si>
    <t>Perpetual Growth</t>
  </si>
  <si>
    <t>Time Period</t>
  </si>
  <si>
    <t>Year Fraction</t>
  </si>
  <si>
    <t>(Cash and Taxes)</t>
  </si>
  <si>
    <t>D&amp;A</t>
  </si>
  <si>
    <t>(Capex)</t>
  </si>
  <si>
    <t>(Change in NWC)</t>
  </si>
  <si>
    <t>Unlevered FCF</t>
  </si>
  <si>
    <t>Entry/Exit</t>
  </si>
  <si>
    <t>Transaction CF</t>
  </si>
  <si>
    <t>Intrinsic Value</t>
  </si>
  <si>
    <t>Market Value</t>
  </si>
  <si>
    <t>Rate Of Return</t>
  </si>
  <si>
    <t xml:space="preserve"> Enterprise Value </t>
  </si>
  <si>
    <t xml:space="preserve"> Market Cap </t>
  </si>
  <si>
    <t xml:space="preserve"> Target Price Upside </t>
  </si>
  <si>
    <t>Cash</t>
  </si>
  <si>
    <t xml:space="preserve">Debt </t>
  </si>
  <si>
    <t xml:space="preserve"> Internal Rate of Return (IRR) </t>
  </si>
  <si>
    <t>(Debt)</t>
  </si>
  <si>
    <t>(Cash)</t>
  </si>
  <si>
    <t xml:space="preserve"> Equity Value </t>
  </si>
  <si>
    <t>Market Value vs Intrinsic Value</t>
  </si>
  <si>
    <t xml:space="preserve"> Market Value </t>
  </si>
  <si>
    <t xml:space="preserve"> Equity Value/Share </t>
  </si>
  <si>
    <t xml:space="preserve"> Upside </t>
  </si>
  <si>
    <t xml:space="preserve"> Intrinsic Value </t>
  </si>
  <si>
    <t>PAYPAY - FIRST CHICAGO METHOD VALUATION</t>
  </si>
  <si>
    <t>Failure Case - Assume PayPay holds only 30% of the market segment by 2031</t>
  </si>
  <si>
    <t>PayPay's market segment (2031)</t>
  </si>
  <si>
    <t>(of Mobile Wallet segment)</t>
  </si>
  <si>
    <t>PayPay segment * Mobile wallet share</t>
  </si>
  <si>
    <t>Netstars Co Peer Benchmark</t>
  </si>
  <si>
    <t>Pre-tax margin</t>
  </si>
  <si>
    <t>(Failure margin / Current margin)^(1/6)-1</t>
  </si>
  <si>
    <t>r</t>
  </si>
  <si>
    <t>From DCF</t>
  </si>
  <si>
    <t>g</t>
  </si>
  <si>
    <t>Assuming 2% terminal growth</t>
  </si>
  <si>
    <t>TV</t>
  </si>
  <si>
    <t>FCFF*(1+g)/(r-g)</t>
  </si>
  <si>
    <t>TV/(1+r)^6</t>
  </si>
  <si>
    <t>Success Case - PayPay reaches PayPal's Market Share by 2031</t>
  </si>
  <si>
    <t>Market Assumptions (2026)</t>
  </si>
  <si>
    <t>Global Digital Payment Market Size</t>
  </si>
  <si>
    <t>USD billions</t>
  </si>
  <si>
    <t>Global Digital Payments Market</t>
  </si>
  <si>
    <t>Global Mobile Payment Market Size</t>
  </si>
  <si>
    <t>Segment of Digital Payments</t>
  </si>
  <si>
    <t>PayPal Mobile Payments</t>
  </si>
  <si>
    <t>PayPal Mobile Payments Revenue</t>
  </si>
  <si>
    <t xml:space="preserve">Mobile Payment Market Segment </t>
  </si>
  <si>
    <t>Mobile Payment / Digital Payments</t>
  </si>
  <si>
    <t>PayPal's segment share</t>
  </si>
  <si>
    <t>PayPal Mobile Payments / Global Mobile Payments</t>
  </si>
  <si>
    <t>PayPal's market share</t>
  </si>
  <si>
    <t>of Global Digital Payments Market</t>
  </si>
  <si>
    <t>of Global Mobile Payments Segment</t>
  </si>
  <si>
    <t>Assume PayPay reach the same amount of global market share as PayPal by 2031</t>
  </si>
  <si>
    <t>PayPal's current market share</t>
  </si>
  <si>
    <t>(Future market share / Current market share)^(1/6)-1</t>
  </si>
  <si>
    <t>Pre-tax margin (Adyen)</t>
  </si>
  <si>
    <t>Peer Benchmark (Success)</t>
  </si>
  <si>
    <t>(Future margin / Current margin)^(1/6)-1</t>
  </si>
  <si>
    <t>Sales-to-capital ratio (PayPal)</t>
  </si>
  <si>
    <t>From DCF inputs</t>
  </si>
  <si>
    <t>Assuming 4%  terminal growth</t>
  </si>
  <si>
    <t>Scenario</t>
  </si>
  <si>
    <t>PV(FCF)</t>
  </si>
  <si>
    <t>PV of TV</t>
  </si>
  <si>
    <t>Probability</t>
  </si>
  <si>
    <t>Weighted value</t>
  </si>
  <si>
    <t>Failure</t>
  </si>
  <si>
    <t>Base</t>
  </si>
  <si>
    <t>Unicorn</t>
  </si>
  <si>
    <t>Final Chicago Method Valuations (USD Billions)</t>
  </si>
  <si>
    <t>Expected EV</t>
  </si>
  <si>
    <t>Sum of weighted values</t>
  </si>
  <si>
    <t>Expected EV - Net Debt</t>
  </si>
  <si>
    <t>Illiquidity Discount</t>
  </si>
  <si>
    <t>PAYPAY - VC METHOD VALUATION</t>
  </si>
  <si>
    <t>Assume PayPay is going to exit after 6 years (in 2031)</t>
  </si>
  <si>
    <t>Growth Rate</t>
  </si>
  <si>
    <t>Assumed using market CAGR</t>
  </si>
  <si>
    <t>Revenue (2031)</t>
  </si>
  <si>
    <t>Revenue*(1+g)^6</t>
  </si>
  <si>
    <t>Target IRR</t>
  </si>
  <si>
    <t>IPO-ready stage</t>
  </si>
  <si>
    <t>All figures in USD Billions</t>
  </si>
  <si>
    <t>Comparable firm</t>
  </si>
  <si>
    <t>Exit EV</t>
  </si>
  <si>
    <t>Exit Equity Value</t>
  </si>
  <si>
    <t>PV (Equity Value)</t>
  </si>
  <si>
    <t>Shift4 Payments</t>
  </si>
  <si>
    <t>FINAL VALUATION - TRIANGULATION</t>
  </si>
  <si>
    <t>Valuation Method</t>
  </si>
  <si>
    <t>Minimum</t>
  </si>
  <si>
    <t>Difference</t>
  </si>
  <si>
    <t>Maximum</t>
  </si>
  <si>
    <t>Expected</t>
  </si>
  <si>
    <t>EV /  Revenue</t>
  </si>
  <si>
    <t>VC</t>
  </si>
  <si>
    <t>DCF</t>
  </si>
  <si>
    <t>First Chicago</t>
  </si>
  <si>
    <t>Weight</t>
  </si>
  <si>
    <t>Equity Value (discounted - $b)</t>
  </si>
  <si>
    <t>Number of Existing Shares</t>
  </si>
  <si>
    <t>Share Price</t>
  </si>
  <si>
    <t>CAP TABLE</t>
  </si>
  <si>
    <t>Individual or Entity</t>
  </si>
  <si>
    <t>OPP</t>
  </si>
  <si>
    <t>Amount invested ($m)</t>
  </si>
  <si>
    <t>Conversion Price</t>
  </si>
  <si>
    <t>Common Shares Equivalent</t>
  </si>
  <si>
    <t>% Own (fully diluted)</t>
  </si>
  <si>
    <t>Existing shareholders - Common Shares</t>
  </si>
  <si>
    <t>-</t>
  </si>
  <si>
    <t>Stock Options</t>
  </si>
  <si>
    <t>New investor - Convertible Preferred Shares</t>
  </si>
  <si>
    <t>Conversion Price is subjected to the anti-dilution term.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</si>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</sst>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&quot;$&quot;#,##0.00_);[Red]\(&quot;$&quot;#,##0.00\)"/>
    <numFmt numFmtId="165" formatCode="#,##0.0"/>
    <numFmt numFmtId="166" formatCode="#,##0.0&quot; ¥B&quot;;\(#,##0.0&quot; ¥B)&quot;;\-"/>
    <numFmt numFmtId="167" formatCode="#,##0.00&quot; ¥B&quot;;\(#,##0.00&quot; ¥B)&quot;;\-"/>
    <numFmt numFmtId="168" formatCode="0.00\x"/>
    <numFmt numFmtId="169" formatCode="#,##0.00&quot; ₩B&quot;;\(#,##0.00&quot; ₩B)&quot;;\-"/>
    <numFmt numFmtId="170" formatCode="#,##0.0000"/>
    <numFmt numFmtId="171" formatCode="#,##0.00000"/>
    <numFmt numFmtId="172" formatCode="_([$$-409]* #,##0.00_);_([$$-409]* \(#,##0.00\);_([$$-409]* &quot;-&quot;??_);_(@_)"/>
    <numFmt numFmtId="173" formatCode="0.000"/>
    <numFmt numFmtId="174" formatCode="0.0"/>
    <numFmt numFmtId="175" formatCode="_(* #,##0_);_(* \(#,##0\);_(* &quot;-&quot;??_);_(@_)"/>
  </numFmts>
  <fonts count="37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0"/>
      <name val="Open Sans"/>
    </font>
    <font>
      <sz val="10"/>
      <color rgb="FF000000"/>
      <name val="Open Sans"/>
    </font>
    <font>
      <sz val="12"/>
      <color rgb="FF000000"/>
      <name val="Aptos Narrow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3" tint="0.499984740745262"/>
      <name val="Aptos Narrow"/>
      <family val="2"/>
      <scheme val="minor"/>
    </font>
    <font>
      <sz val="12"/>
      <color theme="3" tint="0.499984740745262"/>
      <name val="Aptos Narrow"/>
      <scheme val="minor"/>
    </font>
    <font>
      <i/>
      <sz val="11"/>
      <name val="Calibri"/>
      <family val="2"/>
    </font>
    <font>
      <sz val="11"/>
      <name val="Calibri"/>
      <family val="2"/>
    </font>
    <font>
      <sz val="11"/>
      <color rgb="FF0000FF"/>
      <name val="Calibri"/>
      <family val="2"/>
    </font>
    <font>
      <b/>
      <sz val="11"/>
      <name val="Calibri"/>
      <family val="2"/>
    </font>
    <font>
      <sz val="11"/>
      <color theme="0"/>
      <name val="Calibri"/>
      <family val="2"/>
    </font>
    <font>
      <sz val="11"/>
      <color rgb="FF0070C0"/>
      <name val="Calibri"/>
      <family val="2"/>
    </font>
    <font>
      <sz val="12"/>
      <color theme="1"/>
      <name val="Gg Sans"/>
      <charset val="1"/>
    </font>
    <font>
      <b/>
      <sz val="10"/>
      <color theme="0"/>
      <name val="Aptos Narrow"/>
      <scheme val="minor"/>
    </font>
    <font>
      <sz val="10"/>
      <color theme="1"/>
      <name val="Aptos Narrow"/>
      <scheme val="minor"/>
    </font>
    <font>
      <b/>
      <sz val="10"/>
      <color rgb="FF1F2D40"/>
      <name val="Aptos Narrow"/>
      <scheme val="minor"/>
    </font>
    <font>
      <sz val="10"/>
      <color rgb="FF000000"/>
      <name val="Aptos Narrow"/>
      <scheme val="minor"/>
    </font>
    <font>
      <sz val="10"/>
      <color rgb="FF0000FF"/>
      <name val="Aptos Narrow"/>
      <scheme val="minor"/>
    </font>
    <font>
      <i/>
      <sz val="10"/>
      <color rgb="FF595959"/>
      <name val="Aptos Narrow"/>
      <scheme val="minor"/>
    </font>
    <font>
      <i/>
      <sz val="10"/>
      <color rgb="FF000000"/>
      <name val="Aptos Narrow"/>
      <scheme val="minor"/>
    </font>
    <font>
      <i/>
      <sz val="10"/>
      <color theme="1"/>
      <name val="Aptos Narrow"/>
      <scheme val="minor"/>
    </font>
    <font>
      <b/>
      <sz val="10"/>
      <color rgb="FFFFFFFF"/>
      <name val="Aptos Narrow"/>
      <scheme val="minor"/>
    </font>
    <font>
      <i/>
      <sz val="10"/>
      <color theme="0" tint="-0.499984740745262"/>
      <name val="Aptos Narrow"/>
      <scheme val="minor"/>
    </font>
    <font>
      <b/>
      <sz val="10"/>
      <color theme="1"/>
      <name val="Aptos Narrow"/>
      <scheme val="minor"/>
    </font>
    <font>
      <i/>
      <sz val="9"/>
      <color rgb="FF595959"/>
      <name val="Aptos Narrow"/>
      <scheme val="minor"/>
    </font>
    <font>
      <sz val="10"/>
      <name val="Aptos Narrow"/>
      <scheme val="minor"/>
    </font>
    <font>
      <i/>
      <sz val="8"/>
      <color rgb="FF595959"/>
      <name val="Aptos Narrow"/>
      <scheme val="minor"/>
    </font>
    <font>
      <b/>
      <sz val="10"/>
      <color rgb="FF000000"/>
      <name val="Aptos Narrow"/>
      <scheme val="minor"/>
    </font>
    <font>
      <i/>
      <sz val="9"/>
      <color rgb="FF595959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3" tint="0.249977111117893"/>
      <name val="Aptos Narrow"/>
      <scheme val="minor"/>
    </font>
    <font>
      <b/>
      <sz val="10"/>
      <name val="Aptos Narrow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D6E4F0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1F2D40"/>
        <bgColor rgb="FF003366"/>
      </patternFill>
    </fill>
    <fill>
      <patternFill patternType="solid">
        <fgColor rgb="FF2E5FA3"/>
        <bgColor rgb="FF3366FF"/>
      </patternFill>
    </fill>
    <fill>
      <patternFill patternType="solid">
        <fgColor rgb="FFFFFFFF"/>
        <bgColor rgb="FFF2F2F2"/>
      </patternFill>
    </fill>
    <fill>
      <patternFill patternType="solid">
        <fgColor rgb="FFFFFF00"/>
        <bgColor rgb="FFF2F2F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44546A"/>
        <bgColor rgb="FF000000"/>
      </patternFill>
    </fill>
    <fill>
      <patternFill patternType="solid">
        <fgColor theme="2" tint="-9.9978637043366805E-2"/>
        <bgColor rgb="FFF2F2F2"/>
      </patternFill>
    </fill>
    <fill>
      <patternFill patternType="solid">
        <fgColor theme="2" tint="-9.9978637043366805E-2"/>
        <bgColor rgb="FFFFFF00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D7E4F1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rgb="FF000000"/>
      </top>
      <bottom/>
      <diagonal/>
    </border>
    <border diagonalDown="1">
      <left/>
      <right/>
      <top/>
      <bottom/>
      <diagonal style="thin">
        <color auto="1"/>
      </diagonal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14" fontId="0" fillId="0" borderId="0" xfId="0" applyNumberFormat="1"/>
    <xf numFmtId="0" fontId="6" fillId="0" borderId="0" xfId="0" applyFont="1"/>
    <xf numFmtId="164" fontId="0" fillId="0" borderId="0" xfId="0" applyNumberFormat="1"/>
    <xf numFmtId="164" fontId="3" fillId="0" borderId="0" xfId="0" applyNumberFormat="1" applyFont="1"/>
    <xf numFmtId="9" fontId="5" fillId="0" borderId="0" xfId="0" applyNumberFormat="1" applyFont="1"/>
    <xf numFmtId="0" fontId="7" fillId="0" borderId="0" xfId="0" applyFont="1"/>
    <xf numFmtId="0" fontId="2" fillId="0" borderId="0" xfId="0" applyFont="1"/>
    <xf numFmtId="0" fontId="8" fillId="0" borderId="0" xfId="0" applyFont="1"/>
    <xf numFmtId="14" fontId="10" fillId="0" borderId="0" xfId="0" applyNumberFormat="1" applyFont="1"/>
    <xf numFmtId="0" fontId="10" fillId="0" borderId="0" xfId="0" applyFont="1"/>
    <xf numFmtId="0" fontId="9" fillId="0" borderId="0" xfId="0" applyFont="1"/>
    <xf numFmtId="10" fontId="9" fillId="0" borderId="0" xfId="0" applyNumberFormat="1" applyFont="1"/>
    <xf numFmtId="0" fontId="0" fillId="11" borderId="0" xfId="0" applyFill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2" fillId="0" borderId="0" xfId="0" quotePrefix="1" applyFont="1"/>
    <xf numFmtId="0" fontId="12" fillId="0" borderId="1" xfId="0" applyFont="1" applyBorder="1"/>
    <xf numFmtId="0" fontId="14" fillId="0" borderId="0" xfId="0" applyFont="1"/>
    <xf numFmtId="4" fontId="12" fillId="0" borderId="0" xfId="0" applyNumberFormat="1" applyFont="1"/>
    <xf numFmtId="10" fontId="12" fillId="0" borderId="1" xfId="0" applyNumberFormat="1" applyFont="1" applyBorder="1"/>
    <xf numFmtId="0" fontId="14" fillId="0" borderId="2" xfId="0" applyFont="1" applyBorder="1"/>
    <xf numFmtId="4" fontId="14" fillId="0" borderId="2" xfId="0" applyNumberFormat="1" applyFont="1" applyBorder="1"/>
    <xf numFmtId="10" fontId="14" fillId="0" borderId="0" xfId="0" applyNumberFormat="1" applyFont="1"/>
    <xf numFmtId="0" fontId="15" fillId="12" borderId="0" xfId="0" applyFont="1" applyFill="1"/>
    <xf numFmtId="0" fontId="14" fillId="0" borderId="3" xfId="0" applyFont="1" applyBorder="1"/>
    <xf numFmtId="9" fontId="16" fillId="0" borderId="0" xfId="0" applyNumberFormat="1" applyFont="1"/>
    <xf numFmtId="10" fontId="16" fillId="0" borderId="0" xfId="0" applyNumberFormat="1" applyFont="1"/>
    <xf numFmtId="0" fontId="16" fillId="0" borderId="0" xfId="0" applyFont="1"/>
    <xf numFmtId="4" fontId="16" fillId="0" borderId="0" xfId="0" applyNumberFormat="1" applyFont="1"/>
    <xf numFmtId="2" fontId="14" fillId="0" borderId="0" xfId="0" applyNumberFormat="1" applyFont="1"/>
    <xf numFmtId="3" fontId="0" fillId="0" borderId="0" xfId="0" applyNumberFormat="1"/>
    <xf numFmtId="3" fontId="17" fillId="0" borderId="0" xfId="0" applyNumberFormat="1" applyFont="1"/>
    <xf numFmtId="0" fontId="19" fillId="0" borderId="0" xfId="0" applyFont="1"/>
    <xf numFmtId="0" fontId="18" fillId="10" borderId="0" xfId="0" applyFont="1" applyFill="1" applyAlignment="1">
      <alignment horizontal="center" vertical="center"/>
    </xf>
    <xf numFmtId="10" fontId="19" fillId="0" borderId="0" xfId="0" applyNumberFormat="1" applyFont="1"/>
    <xf numFmtId="2" fontId="19" fillId="0" borderId="0" xfId="0" applyNumberFormat="1" applyFont="1"/>
    <xf numFmtId="1" fontId="19" fillId="0" borderId="0" xfId="0" applyNumberFormat="1" applyFont="1"/>
    <xf numFmtId="0" fontId="29" fillId="0" borderId="0" xfId="0" applyFont="1" applyAlignment="1">
      <alignment horizontal="left" vertical="center" wrapText="1"/>
    </xf>
    <xf numFmtId="0" fontId="20" fillId="2" borderId="0" xfId="0" applyFont="1" applyFill="1" applyAlignment="1">
      <alignment horizontal="center" vertical="center" wrapText="1"/>
    </xf>
    <xf numFmtId="0" fontId="20" fillId="2" borderId="0" xfId="0" applyFont="1" applyFill="1" applyAlignment="1">
      <alignment horizontal="left" vertical="center" wrapText="1"/>
    </xf>
    <xf numFmtId="0" fontId="20" fillId="2" borderId="0" xfId="0" applyFont="1" applyFill="1" applyAlignment="1">
      <alignment vertical="center" wrapText="1"/>
    </xf>
    <xf numFmtId="173" fontId="28" fillId="17" borderId="4" xfId="0" applyNumberFormat="1" applyFont="1" applyFill="1" applyBorder="1" applyAlignment="1">
      <alignment vertical="center" wrapText="1"/>
    </xf>
    <xf numFmtId="0" fontId="34" fillId="0" borderId="0" xfId="0" applyFont="1"/>
    <xf numFmtId="0" fontId="29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 wrapText="1"/>
    </xf>
    <xf numFmtId="10" fontId="22" fillId="7" borderId="0" xfId="0" applyNumberFormat="1" applyFont="1" applyFill="1" applyAlignment="1">
      <alignment horizontal="right" vertical="center"/>
    </xf>
    <xf numFmtId="10" fontId="19" fillId="8" borderId="0" xfId="0" applyNumberFormat="1" applyFont="1" applyFill="1" applyAlignment="1">
      <alignment vertical="center"/>
    </xf>
    <xf numFmtId="2" fontId="22" fillId="3" borderId="0" xfId="0" applyNumberFormat="1" applyFont="1" applyFill="1" applyAlignment="1">
      <alignment horizontal="right" vertical="center"/>
    </xf>
    <xf numFmtId="0" fontId="29" fillId="0" borderId="0" xfId="0" applyFont="1" applyAlignment="1">
      <alignment horizontal="center" vertical="center"/>
    </xf>
    <xf numFmtId="0" fontId="26" fillId="13" borderId="0" xfId="0" applyFont="1" applyFill="1"/>
    <xf numFmtId="0" fontId="32" fillId="0" borderId="0" xfId="0" applyFont="1"/>
    <xf numFmtId="0" fontId="21" fillId="0" borderId="0" xfId="0" applyFont="1"/>
    <xf numFmtId="9" fontId="30" fillId="0" borderId="0" xfId="0" applyNumberFormat="1" applyFont="1"/>
    <xf numFmtId="0" fontId="30" fillId="0" borderId="0" xfId="0" applyFont="1"/>
    <xf numFmtId="0" fontId="32" fillId="0" borderId="2" xfId="0" applyFont="1" applyBorder="1"/>
    <xf numFmtId="2" fontId="21" fillId="0" borderId="0" xfId="0" applyNumberFormat="1" applyFont="1"/>
    <xf numFmtId="164" fontId="21" fillId="0" borderId="0" xfId="0" applyNumberFormat="1" applyFont="1"/>
    <xf numFmtId="170" fontId="22" fillId="3" borderId="0" xfId="0" applyNumberFormat="1" applyFont="1" applyFill="1" applyAlignment="1">
      <alignment horizontal="right" vertical="center"/>
    </xf>
    <xf numFmtId="171" fontId="22" fillId="3" borderId="0" xfId="0" applyNumberFormat="1" applyFont="1" applyFill="1" applyAlignment="1">
      <alignment horizontal="right" vertical="center"/>
    </xf>
    <xf numFmtId="165" fontId="22" fillId="0" borderId="0" xfId="0" applyNumberFormat="1" applyFont="1" applyAlignment="1">
      <alignment horizontal="right" vertical="center"/>
    </xf>
    <xf numFmtId="0" fontId="22" fillId="3" borderId="0" xfId="0" applyFont="1" applyFill="1" applyAlignment="1">
      <alignment horizontal="right" vertical="center"/>
    </xf>
    <xf numFmtId="9" fontId="22" fillId="3" borderId="0" xfId="0" applyNumberFormat="1" applyFont="1" applyFill="1" applyAlignment="1">
      <alignment horizontal="right" vertical="center"/>
    </xf>
    <xf numFmtId="0" fontId="26" fillId="5" borderId="0" xfId="0" applyFont="1" applyFill="1" applyAlignment="1">
      <alignment horizontal="center" vertical="center" wrapText="1"/>
    </xf>
    <xf numFmtId="0" fontId="21" fillId="6" borderId="0" xfId="0" applyFont="1" applyFill="1" applyAlignment="1">
      <alignment horizontal="left" vertical="center" wrapText="1"/>
    </xf>
    <xf numFmtId="167" fontId="22" fillId="7" borderId="0" xfId="0" applyNumberFormat="1" applyFont="1" applyFill="1" applyAlignment="1">
      <alignment horizontal="right" vertical="center"/>
    </xf>
    <xf numFmtId="168" fontId="21" fillId="8" borderId="0" xfId="0" applyNumberFormat="1" applyFont="1" applyFill="1" applyAlignment="1">
      <alignment horizontal="right" vertical="center"/>
    </xf>
    <xf numFmtId="2" fontId="22" fillId="7" borderId="0" xfId="0" applyNumberFormat="1" applyFont="1" applyFill="1" applyAlignment="1">
      <alignment horizontal="right" vertical="center"/>
    </xf>
    <xf numFmtId="172" fontId="22" fillId="7" borderId="0" xfId="0" applyNumberFormat="1" applyFont="1" applyFill="1" applyAlignment="1">
      <alignment horizontal="right" vertical="center"/>
    </xf>
    <xf numFmtId="169" fontId="22" fillId="7" borderId="0" xfId="0" applyNumberFormat="1" applyFont="1" applyFill="1" applyAlignment="1">
      <alignment horizontal="right" vertical="center"/>
    </xf>
    <xf numFmtId="167" fontId="22" fillId="0" borderId="0" xfId="0" applyNumberFormat="1" applyFont="1" applyAlignment="1">
      <alignment horizontal="right" vertical="center"/>
    </xf>
    <xf numFmtId="168" fontId="21" fillId="0" borderId="0" xfId="0" applyNumberFormat="1" applyFont="1" applyAlignment="1">
      <alignment horizontal="right" vertical="center"/>
    </xf>
    <xf numFmtId="172" fontId="19" fillId="6" borderId="0" xfId="0" applyNumberFormat="1" applyFont="1" applyFill="1" applyAlignment="1">
      <alignment horizontal="right" vertical="center"/>
    </xf>
    <xf numFmtId="10" fontId="19" fillId="0" borderId="0" xfId="0" applyNumberFormat="1" applyFont="1" applyAlignment="1">
      <alignment horizontal="right" vertical="center"/>
    </xf>
    <xf numFmtId="166" fontId="19" fillId="6" borderId="0" xfId="0" applyNumberFormat="1" applyFont="1" applyFill="1" applyAlignment="1">
      <alignment horizontal="right" vertical="center"/>
    </xf>
    <xf numFmtId="10" fontId="19" fillId="6" borderId="0" xfId="1" applyNumberFormat="1" applyFont="1" applyFill="1" applyBorder="1" applyAlignment="1">
      <alignment horizontal="right" vertical="center"/>
    </xf>
    <xf numFmtId="2" fontId="19" fillId="0" borderId="0" xfId="0" applyNumberFormat="1" applyFont="1" applyAlignment="1">
      <alignment vertical="center"/>
    </xf>
    <xf numFmtId="10" fontId="19" fillId="6" borderId="0" xfId="0" applyNumberFormat="1" applyFont="1" applyFill="1" applyAlignment="1">
      <alignment horizontal="right" vertical="center"/>
    </xf>
    <xf numFmtId="10" fontId="19" fillId="0" borderId="0" xfId="1" applyNumberFormat="1" applyFont="1" applyBorder="1" applyAlignment="1">
      <alignment vertical="center"/>
    </xf>
    <xf numFmtId="0" fontId="19" fillId="0" borderId="0" xfId="0" applyFont="1" applyAlignment="1">
      <alignment vertical="center"/>
    </xf>
    <xf numFmtId="3" fontId="22" fillId="3" borderId="0" xfId="0" applyNumberFormat="1" applyFont="1" applyFill="1" applyAlignment="1">
      <alignment horizontal="right" vertical="center"/>
    </xf>
    <xf numFmtId="0" fontId="19" fillId="0" borderId="0" xfId="0" applyFont="1" applyAlignment="1">
      <alignment horizontal="left" vertical="center"/>
    </xf>
    <xf numFmtId="10" fontId="19" fillId="14" borderId="0" xfId="0" applyNumberFormat="1" applyFont="1" applyFill="1" applyAlignment="1">
      <alignment horizontal="right" vertical="center"/>
    </xf>
    <xf numFmtId="0" fontId="19" fillId="0" borderId="0" xfId="0" applyFont="1" applyAlignment="1">
      <alignment vertical="center" wrapText="1"/>
    </xf>
    <xf numFmtId="2" fontId="19" fillId="15" borderId="0" xfId="0" applyNumberFormat="1" applyFont="1" applyFill="1" applyAlignment="1">
      <alignment horizontal="right" vertical="center"/>
    </xf>
    <xf numFmtId="10" fontId="19" fillId="15" borderId="0" xfId="0" applyNumberFormat="1" applyFont="1" applyFill="1" applyAlignment="1">
      <alignment horizontal="right" vertical="center"/>
    </xf>
    <xf numFmtId="10" fontId="30" fillId="15" borderId="0" xfId="0" applyNumberFormat="1" applyFont="1" applyFill="1" applyAlignment="1">
      <alignment horizontal="right" vertical="center"/>
    </xf>
    <xf numFmtId="1" fontId="22" fillId="3" borderId="0" xfId="0" applyNumberFormat="1" applyFont="1" applyFill="1" applyAlignment="1">
      <alignment horizontal="right" vertical="center"/>
    </xf>
    <xf numFmtId="10" fontId="22" fillId="3" borderId="0" xfId="0" applyNumberFormat="1" applyFont="1" applyFill="1" applyAlignment="1">
      <alignment horizontal="right" vertical="center"/>
    </xf>
    <xf numFmtId="174" fontId="22" fillId="3" borderId="0" xfId="0" applyNumberFormat="1" applyFont="1" applyFill="1" applyAlignment="1">
      <alignment horizontal="right" vertical="center"/>
    </xf>
    <xf numFmtId="2" fontId="19" fillId="8" borderId="0" xfId="0" applyNumberFormat="1" applyFont="1" applyFill="1"/>
    <xf numFmtId="0" fontId="28" fillId="0" borderId="0" xfId="0" applyFont="1"/>
    <xf numFmtId="10" fontId="28" fillId="18" borderId="0" xfId="0" applyNumberFormat="1" applyFont="1" applyFill="1" applyAlignment="1">
      <alignment vertical="center"/>
    </xf>
    <xf numFmtId="0" fontId="18" fillId="0" borderId="0" xfId="0" applyFont="1" applyAlignment="1">
      <alignment horizontal="center" vertical="center"/>
    </xf>
    <xf numFmtId="172" fontId="19" fillId="0" borderId="0" xfId="0" applyNumberFormat="1" applyFont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167" fontId="19" fillId="0" borderId="0" xfId="0" applyNumberFormat="1" applyFont="1" applyAlignment="1">
      <alignment vertical="center"/>
    </xf>
    <xf numFmtId="0" fontId="19" fillId="0" borderId="0" xfId="0" applyFont="1" applyAlignment="1">
      <alignment horizontal="center" vertical="center"/>
    </xf>
    <xf numFmtId="10" fontId="19" fillId="0" borderId="0" xfId="0" applyNumberFormat="1" applyFont="1" applyAlignment="1">
      <alignment vertical="center"/>
    </xf>
    <xf numFmtId="2" fontId="19" fillId="8" borderId="0" xfId="0" applyNumberFormat="1" applyFont="1" applyFill="1" applyAlignment="1">
      <alignment vertical="center"/>
    </xf>
    <xf numFmtId="0" fontId="19" fillId="16" borderId="0" xfId="0" applyFont="1" applyFill="1" applyAlignment="1">
      <alignment vertical="center"/>
    </xf>
    <xf numFmtId="0" fontId="28" fillId="0" borderId="0" xfId="0" applyFont="1" applyAlignment="1">
      <alignment vertical="center"/>
    </xf>
    <xf numFmtId="1" fontId="19" fillId="0" borderId="0" xfId="0" applyNumberFormat="1" applyFont="1" applyAlignment="1">
      <alignment vertical="center"/>
    </xf>
    <xf numFmtId="173" fontId="19" fillId="8" borderId="0" xfId="0" applyNumberFormat="1" applyFont="1" applyFill="1" applyAlignment="1">
      <alignment vertical="center"/>
    </xf>
    <xf numFmtId="0" fontId="28" fillId="17" borderId="0" xfId="0" applyFont="1" applyFill="1" applyAlignment="1">
      <alignment vertical="center"/>
    </xf>
    <xf numFmtId="173" fontId="21" fillId="0" borderId="0" xfId="0" applyNumberFormat="1" applyFont="1" applyAlignment="1">
      <alignment vertical="center"/>
    </xf>
    <xf numFmtId="9" fontId="28" fillId="18" borderId="0" xfId="0" applyNumberFormat="1" applyFont="1" applyFill="1" applyAlignment="1">
      <alignment vertical="center"/>
    </xf>
    <xf numFmtId="173" fontId="19" fillId="0" borderId="0" xfId="0" applyNumberFormat="1" applyFont="1" applyAlignment="1">
      <alignment vertical="center"/>
    </xf>
    <xf numFmtId="9" fontId="28" fillId="17" borderId="0" xfId="0" applyNumberFormat="1" applyFont="1" applyFill="1" applyAlignment="1">
      <alignment vertical="center"/>
    </xf>
    <xf numFmtId="10" fontId="28" fillId="17" borderId="0" xfId="0" applyNumberFormat="1" applyFont="1" applyFill="1" applyAlignment="1">
      <alignment vertical="center"/>
    </xf>
    <xf numFmtId="173" fontId="32" fillId="18" borderId="0" xfId="0" applyNumberFormat="1" applyFont="1" applyFill="1" applyAlignment="1">
      <alignment vertical="center"/>
    </xf>
    <xf numFmtId="2" fontId="28" fillId="0" borderId="0" xfId="0" applyNumberFormat="1" applyFont="1"/>
    <xf numFmtId="10" fontId="30" fillId="8" borderId="0" xfId="0" applyNumberFormat="1" applyFont="1" applyFill="1" applyAlignment="1">
      <alignment horizontal="right" vertical="center"/>
    </xf>
    <xf numFmtId="0" fontId="28" fillId="17" borderId="0" xfId="0" applyFont="1" applyFill="1" applyAlignment="1">
      <alignment horizontal="center" vertical="center"/>
    </xf>
    <xf numFmtId="0" fontId="28" fillId="17" borderId="0" xfId="0" applyFont="1" applyFill="1" applyAlignment="1">
      <alignment horizontal="center" vertical="center" wrapText="1"/>
    </xf>
    <xf numFmtId="0" fontId="18" fillId="10" borderId="0" xfId="0" applyFont="1" applyFill="1" applyAlignment="1">
      <alignment horizontal="center" vertical="center" wrapText="1"/>
    </xf>
    <xf numFmtId="2" fontId="18" fillId="10" borderId="0" xfId="0" applyNumberFormat="1" applyFont="1" applyFill="1" applyAlignment="1">
      <alignment horizontal="center" vertical="center" wrapText="1"/>
    </xf>
    <xf numFmtId="164" fontId="36" fillId="0" borderId="0" xfId="0" applyNumberFormat="1" applyFont="1"/>
    <xf numFmtId="164" fontId="36" fillId="0" borderId="2" xfId="0" applyNumberFormat="1" applyFont="1" applyBorder="1"/>
    <xf numFmtId="2" fontId="28" fillId="0" borderId="0" xfId="0" applyNumberFormat="1" applyFont="1" applyAlignment="1">
      <alignment vertical="center"/>
    </xf>
    <xf numFmtId="173" fontId="28" fillId="8" borderId="0" xfId="0" applyNumberFormat="1" applyFont="1" applyFill="1" applyAlignment="1">
      <alignment vertical="center"/>
    </xf>
    <xf numFmtId="10" fontId="35" fillId="0" borderId="0" xfId="0" applyNumberFormat="1" applyFont="1" applyAlignment="1">
      <alignment vertical="center"/>
    </xf>
    <xf numFmtId="9" fontId="19" fillId="0" borderId="0" xfId="0" applyNumberFormat="1" applyFont="1" applyAlignment="1">
      <alignment vertical="center"/>
    </xf>
    <xf numFmtId="0" fontId="34" fillId="0" borderId="0" xfId="0" applyFont="1" applyAlignment="1">
      <alignment vertical="center"/>
    </xf>
    <xf numFmtId="173" fontId="28" fillId="0" borderId="0" xfId="0" applyNumberFormat="1" applyFont="1" applyAlignment="1">
      <alignment vertical="center"/>
    </xf>
    <xf numFmtId="0" fontId="34" fillId="0" borderId="0" xfId="0" applyFont="1" applyAlignment="1">
      <alignment horizontal="left" vertical="center"/>
    </xf>
    <xf numFmtId="10" fontId="34" fillId="0" borderId="0" xfId="0" applyNumberFormat="1" applyFont="1"/>
    <xf numFmtId="164" fontId="34" fillId="0" borderId="0" xfId="0" applyNumberFormat="1" applyFont="1"/>
    <xf numFmtId="0" fontId="34" fillId="0" borderId="0" xfId="0" applyFont="1" applyAlignment="1">
      <alignment horizontal="right"/>
    </xf>
    <xf numFmtId="2" fontId="34" fillId="0" borderId="0" xfId="0" applyNumberFormat="1" applyFont="1" applyAlignment="1">
      <alignment horizontal="right"/>
    </xf>
    <xf numFmtId="43" fontId="34" fillId="0" borderId="0" xfId="0" applyNumberFormat="1" applyFont="1"/>
    <xf numFmtId="43" fontId="34" fillId="0" borderId="0" xfId="0" applyNumberFormat="1" applyFont="1" applyAlignment="1">
      <alignment horizontal="right"/>
    </xf>
    <xf numFmtId="175" fontId="34" fillId="0" borderId="0" xfId="0" applyNumberFormat="1" applyFont="1"/>
    <xf numFmtId="172" fontId="28" fillId="0" borderId="0" xfId="0" applyNumberFormat="1" applyFont="1" applyAlignment="1">
      <alignment vertical="center"/>
    </xf>
    <xf numFmtId="0" fontId="19" fillId="0" borderId="5" xfId="0" applyFont="1" applyBorder="1" applyAlignment="1">
      <alignment vertical="center"/>
    </xf>
    <xf numFmtId="173" fontId="19" fillId="0" borderId="5" xfId="0" applyNumberFormat="1" applyFont="1" applyBorder="1" applyAlignment="1">
      <alignment vertical="center"/>
    </xf>
    <xf numFmtId="0" fontId="27" fillId="0" borderId="0" xfId="0" applyFont="1" applyAlignment="1">
      <alignment horizontal="center" vertical="center"/>
    </xf>
    <xf numFmtId="0" fontId="26" fillId="4" borderId="0" xfId="0" applyFont="1" applyFill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0" fontId="18" fillId="9" borderId="0" xfId="0" applyFont="1" applyFill="1" applyAlignment="1">
      <alignment horizontal="left" vertical="center"/>
    </xf>
    <xf numFmtId="0" fontId="20" fillId="2" borderId="0" xfId="0" applyFont="1" applyFill="1" applyAlignment="1">
      <alignment horizontal="center" vertical="center" wrapText="1"/>
    </xf>
    <xf numFmtId="0" fontId="18" fillId="10" borderId="0" xfId="0" applyFont="1" applyFill="1" applyAlignment="1">
      <alignment horizontal="center" vertical="center"/>
    </xf>
    <xf numFmtId="0" fontId="27" fillId="0" borderId="0" xfId="0" applyFont="1" applyAlignment="1">
      <alignment horizontal="left" vertical="center" wrapText="1"/>
    </xf>
    <xf numFmtId="0" fontId="1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 wrapText="1"/>
    </xf>
    <xf numFmtId="0" fontId="29" fillId="0" borderId="0" xfId="0" applyFont="1" applyAlignment="1">
      <alignment horizontal="center" vertical="center" wrapText="1"/>
    </xf>
    <xf numFmtId="0" fontId="31" fillId="0" borderId="0" xfId="0" applyFont="1" applyAlignment="1">
      <alignment horizontal="left" vertical="center" wrapText="1"/>
    </xf>
    <xf numFmtId="0" fontId="33" fillId="0" borderId="0" xfId="0" applyFont="1" applyAlignment="1">
      <alignment horizontal="left" vertical="center" wrapText="1"/>
    </xf>
    <xf numFmtId="0" fontId="28" fillId="17" borderId="0" xfId="0" applyFont="1" applyFill="1" applyAlignment="1">
      <alignment horizontal="left" vertical="center"/>
    </xf>
    <xf numFmtId="0" fontId="32" fillId="17" borderId="0" xfId="0" applyFont="1" applyFill="1" applyAlignment="1">
      <alignment horizontal="left" vertical="center" wrapText="1"/>
    </xf>
    <xf numFmtId="0" fontId="20" fillId="2" borderId="0" xfId="0" applyFont="1" applyFill="1" applyAlignment="1">
      <alignment horizontal="left" vertical="center" wrapText="1"/>
    </xf>
    <xf numFmtId="0" fontId="18" fillId="9" borderId="0" xfId="0" applyFont="1" applyFill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D7E4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/>
                <a:ea typeface="Cambria"/>
                <a:cs typeface="Cambria"/>
              </a:defRPr>
            </a:pPr>
            <a:r>
              <a:rPr lang="en-US"/>
              <a:t>Football Field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mbria"/>
              <a:ea typeface="Cambria"/>
              <a:cs typeface="Cambria"/>
            </a:defRPr>
          </a:pPr>
          <a:endParaRPr lang="en-VN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'Final Valuation'!$C$2</c:f>
              <c:strCache>
                <c:ptCount val="1"/>
                <c:pt idx="0">
                  <c:v>Minimum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'Final Valuation'!$B$3:$B$6</c:f>
              <c:strCache>
                <c:ptCount val="4"/>
                <c:pt idx="0">
                  <c:v>EV /  Revenue</c:v>
                </c:pt>
                <c:pt idx="1">
                  <c:v>VC</c:v>
                </c:pt>
                <c:pt idx="2">
                  <c:v>DCF</c:v>
                </c:pt>
                <c:pt idx="3">
                  <c:v>First Chicago</c:v>
                </c:pt>
              </c:strCache>
            </c:strRef>
          </c:cat>
          <c:val>
            <c:numRef>
              <c:f>'Final Valuation'!$C$3:$C$6</c:f>
              <c:numCache>
                <c:formatCode>0.00</c:formatCode>
                <c:ptCount val="4"/>
                <c:pt idx="0">
                  <c:v>2.5015341898441115</c:v>
                </c:pt>
                <c:pt idx="1">
                  <c:v>3.644747806266377</c:v>
                </c:pt>
                <c:pt idx="2">
                  <c:v>1.1175455726143961</c:v>
                </c:pt>
                <c:pt idx="3">
                  <c:v>1.9771127097861232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51E-4116-B4BF-ED69F6DBCE52}"/>
            </c:ext>
          </c:extLst>
        </c:ser>
        <c:ser>
          <c:idx val="1"/>
          <c:order val="1"/>
          <c:tx>
            <c:strRef>
              <c:f>'Final Valuation'!$D$2</c:f>
              <c:strCache>
                <c:ptCount val="1"/>
                <c:pt idx="0">
                  <c:v>Difference</c:v>
                </c:pt>
              </c:strCache>
            </c:strRef>
          </c:tx>
          <c:spPr>
            <a:solidFill>
              <a:srgbClr val="44B3E1"/>
            </a:solidFill>
            <a:ln>
              <a:noFill/>
            </a:ln>
            <a:effectLst/>
          </c:spPr>
          <c:invertIfNegative val="0"/>
          <c:cat>
            <c:strRef>
              <c:f>'Final Valuation'!$B$3:$B$6</c:f>
              <c:strCache>
                <c:ptCount val="4"/>
                <c:pt idx="0">
                  <c:v>EV /  Revenue</c:v>
                </c:pt>
                <c:pt idx="1">
                  <c:v>VC</c:v>
                </c:pt>
                <c:pt idx="2">
                  <c:v>DCF</c:v>
                </c:pt>
                <c:pt idx="3">
                  <c:v>First Chicago</c:v>
                </c:pt>
              </c:strCache>
            </c:strRef>
          </c:cat>
          <c:val>
            <c:numRef>
              <c:f>'Final Valuation'!$D$3:$D$6</c:f>
              <c:numCache>
                <c:formatCode>0.00</c:formatCode>
                <c:ptCount val="4"/>
                <c:pt idx="0">
                  <c:v>4.144417239906466</c:v>
                </c:pt>
                <c:pt idx="1">
                  <c:v>5.5722902137747123</c:v>
                </c:pt>
                <c:pt idx="2">
                  <c:v>3.3864406002301943</c:v>
                </c:pt>
                <c:pt idx="3">
                  <c:v>4.5216034658464039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51E-4116-B4BF-ED69F6DBCE52}"/>
            </c:ext>
          </c:extLst>
        </c:ser>
        <c:ser>
          <c:idx val="2"/>
          <c:order val="2"/>
          <c:tx>
            <c:strRef>
              <c:f>'Final Valuation'!$E$2</c:f>
              <c:strCache>
                <c:ptCount val="1"/>
                <c:pt idx="0">
                  <c:v>Maximum</c:v>
                </c:pt>
              </c:strCache>
            </c:strRef>
          </c:tx>
          <c:spPr>
            <a:solidFill>
              <a:srgbClr val="FFFFFF"/>
            </a:solidFill>
            <a:ln>
              <a:noFill/>
            </a:ln>
            <a:effectLst/>
          </c:spPr>
          <c:invertIfNegative val="0"/>
          <c:cat>
            <c:strRef>
              <c:f>'Final Valuation'!$B$3:$B$6</c:f>
              <c:strCache>
                <c:ptCount val="4"/>
                <c:pt idx="0">
                  <c:v>EV /  Revenue</c:v>
                </c:pt>
                <c:pt idx="1">
                  <c:v>VC</c:v>
                </c:pt>
                <c:pt idx="2">
                  <c:v>DCF</c:v>
                </c:pt>
                <c:pt idx="3">
                  <c:v>First Chicago</c:v>
                </c:pt>
              </c:strCache>
            </c:strRef>
          </c:cat>
          <c:val>
            <c:numRef>
              <c:f>'Final Valuation'!$E$3:$E$6</c:f>
              <c:numCache>
                <c:formatCode>0.00</c:formatCode>
                <c:ptCount val="4"/>
                <c:pt idx="0">
                  <c:v>6.6459514297505775</c:v>
                </c:pt>
                <c:pt idx="1">
                  <c:v>9.2170380200410893</c:v>
                </c:pt>
                <c:pt idx="2">
                  <c:v>4.5039861728445905</c:v>
                </c:pt>
                <c:pt idx="3">
                  <c:v>6.4987161756325271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51E-4116-B4BF-ED69F6DBCE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5121799"/>
        <c:axId val="25812487"/>
      </c:barChart>
      <c:catAx>
        <c:axId val="251217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/>
                <a:ea typeface="Cambria"/>
                <a:cs typeface="Cambria"/>
              </a:defRPr>
            </a:pPr>
            <a:endParaRPr lang="en-VN"/>
          </a:p>
        </c:txPr>
        <c:crossAx val="25812487"/>
        <c:crosses val="autoZero"/>
        <c:auto val="1"/>
        <c:lblAlgn val="ctr"/>
        <c:lblOffset val="100"/>
        <c:noMultiLvlLbl val="0"/>
      </c:catAx>
      <c:valAx>
        <c:axId val="25812487"/>
        <c:scaling>
          <c:orientation val="minMax"/>
          <c:max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mbria"/>
                    <a:ea typeface="Cambria"/>
                    <a:cs typeface="Cambria"/>
                  </a:defRPr>
                </a:pPr>
                <a:r>
                  <a:rPr lang="en-US"/>
                  <a:t>Equity Value (US$ billion)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mbria"/>
                  <a:ea typeface="Cambria"/>
                  <a:cs typeface="Cambria"/>
                </a:defRPr>
              </a:pPr>
              <a:endParaRPr lang="en-VN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"/>
                <a:ea typeface="Cambria"/>
                <a:cs typeface="Cambria"/>
              </a:defRPr>
            </a:pPr>
            <a:endParaRPr lang="en-VN"/>
          </a:p>
        </c:txPr>
        <c:crossAx val="25121799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542925</xdr:colOff>
      <xdr:row>1</xdr:row>
      <xdr:rowOff>95250</xdr:rowOff>
    </xdr:from>
    <xdr:to>
      <xdr:col>13</xdr:col>
      <xdr:colOff>314325</xdr:colOff>
      <xdr:row>15</xdr:row>
      <xdr:rowOff>38100</xdr:rowOff>
    </xdr:to>
    <xdr:graphicFrame macro="">
      <xdr:nvGraphicFramePr>
        <xdr:cNvPr id="31" name="Chart 2">
          <a:extLst>
            <a:ext uri="{FF2B5EF4-FFF2-40B4-BE49-F238E27FC236}">
              <a16:creationId xmlns:a16="http://schemas.microsoft.com/office/drawing/2014/main" id="{C265B9FC-5C7A-AC60-91B5-665F422022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76200</xdr:colOff>
      <xdr:row>3</xdr:row>
      <xdr:rowOff>161925</xdr:rowOff>
    </xdr:from>
    <xdr:to>
      <xdr:col>10</xdr:col>
      <xdr:colOff>85725</xdr:colOff>
      <xdr:row>12</xdr:row>
      <xdr:rowOff>76200</xdr:rowOff>
    </xdr:to>
    <xdr:cxnSp macro="">
      <xdr:nvCxnSpPr>
        <xdr:cNvPr id="33" name="Straight Connector 1">
          <a:extLst>
            <a:ext uri="{FF2B5EF4-FFF2-40B4-BE49-F238E27FC236}">
              <a16:creationId xmlns:a16="http://schemas.microsoft.com/office/drawing/2014/main" id="{C57610D9-936E-3AE7-BD41-7569465E5016}"/>
            </a:ext>
            <a:ext uri="{147F2762-F138-4A5C-976F-8EAC2B608ADB}">
              <a16:predDERef xmlns:a16="http://schemas.microsoft.com/office/drawing/2014/main" pred="{C265B9FC-5C7A-AC60-91B5-665F42202234}"/>
            </a:ext>
          </a:extLst>
        </xdr:cNvPr>
        <xdr:cNvCxnSpPr>
          <a:cxnSpLocks/>
        </xdr:cNvCxnSpPr>
      </xdr:nvCxnSpPr>
      <xdr:spPr>
        <a:xfrm flipH="1">
          <a:off x="7915275" y="676275"/>
          <a:ext cx="9525" cy="145732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24212-69D8-4666-95CE-1356232EDEA3}">
  <dimension ref="B2:Q34"/>
  <sheetViews>
    <sheetView topLeftCell="A16" workbookViewId="0">
      <selection activeCell="D29" sqref="D29"/>
    </sheetView>
  </sheetViews>
  <sheetFormatPr baseColWidth="10" defaultColWidth="8.83203125" defaultRowHeight="16"/>
  <cols>
    <col min="2" max="2" width="36.83203125" customWidth="1"/>
    <col min="4" max="8" width="10" bestFit="1" customWidth="1"/>
    <col min="10" max="10" width="12.33203125" customWidth="1"/>
    <col min="16" max="16" width="11.83203125" customWidth="1"/>
    <col min="17" max="17" width="9.6640625" bestFit="1" customWidth="1"/>
  </cols>
  <sheetData>
    <row r="2" spans="2:17">
      <c r="B2" s="17"/>
      <c r="C2" s="17"/>
      <c r="D2" s="18"/>
      <c r="E2" s="18"/>
      <c r="F2" s="18"/>
      <c r="G2" s="18"/>
      <c r="H2" s="18"/>
    </row>
    <row r="3" spans="2:17">
      <c r="B3" s="18"/>
      <c r="C3" s="18"/>
      <c r="D3" s="18"/>
      <c r="E3" s="18"/>
      <c r="F3" s="18"/>
      <c r="G3" s="18"/>
      <c r="H3" s="18"/>
      <c r="P3" t="s">
        <v>0</v>
      </c>
      <c r="Q3" s="35">
        <v>3818374</v>
      </c>
    </row>
    <row r="4" spans="2:17">
      <c r="B4" s="28" t="s">
        <v>1</v>
      </c>
      <c r="C4" s="28"/>
      <c r="D4" s="18"/>
      <c r="E4" s="18"/>
      <c r="F4" s="18"/>
      <c r="G4" s="18"/>
      <c r="H4" s="18"/>
      <c r="J4" t="s">
        <v>2</v>
      </c>
      <c r="P4" t="s">
        <v>3</v>
      </c>
      <c r="Q4" s="35">
        <v>223731</v>
      </c>
    </row>
    <row r="5" spans="2:17">
      <c r="B5" s="18" t="s">
        <v>4</v>
      </c>
      <c r="C5" s="31">
        <v>0.3</v>
      </c>
      <c r="D5" s="18"/>
      <c r="E5" s="18"/>
      <c r="F5" s="18"/>
      <c r="G5" s="18"/>
      <c r="H5" s="18"/>
      <c r="P5" t="s">
        <v>5</v>
      </c>
      <c r="Q5" s="36">
        <v>2628000</v>
      </c>
    </row>
    <row r="6" spans="2:17">
      <c r="B6" s="18" t="s">
        <v>6</v>
      </c>
      <c r="C6" s="31">
        <v>0.03</v>
      </c>
      <c r="D6" s="18"/>
      <c r="E6" s="18"/>
      <c r="F6" s="18"/>
      <c r="G6" s="18"/>
      <c r="H6" s="18"/>
    </row>
    <row r="7" spans="2:17">
      <c r="B7" s="18" t="s">
        <v>7</v>
      </c>
      <c r="C7" s="31">
        <v>0.08</v>
      </c>
      <c r="D7" s="18"/>
      <c r="E7" s="18"/>
      <c r="F7" s="18"/>
      <c r="G7" s="18"/>
      <c r="H7" s="18"/>
      <c r="P7" t="s">
        <v>8</v>
      </c>
      <c r="Q7">
        <f>(Q5*(1-C5))/Q3</f>
        <v>0.48177575062055206</v>
      </c>
    </row>
    <row r="8" spans="2:17">
      <c r="B8" s="18" t="s">
        <v>9</v>
      </c>
      <c r="C8" s="32">
        <v>3</v>
      </c>
      <c r="D8" s="18"/>
      <c r="E8" s="18"/>
      <c r="F8" s="18"/>
      <c r="G8" s="18"/>
      <c r="H8" s="18"/>
      <c r="Q8">
        <f>(Q5*(1-C5))/Q4</f>
        <v>8.2223741904340475</v>
      </c>
    </row>
    <row r="9" spans="2:17">
      <c r="B9" s="18" t="s">
        <v>10</v>
      </c>
      <c r="C9" s="33">
        <v>1000</v>
      </c>
      <c r="D9" s="18"/>
      <c r="E9" s="18"/>
      <c r="F9" s="18"/>
      <c r="G9" s="18"/>
      <c r="H9" s="18"/>
    </row>
    <row r="10" spans="2:17">
      <c r="B10" s="18"/>
      <c r="C10" s="30"/>
      <c r="D10" s="18"/>
      <c r="E10" s="18"/>
      <c r="F10" s="18"/>
      <c r="G10" s="18"/>
      <c r="H10" s="18"/>
    </row>
    <row r="11" spans="2:17">
      <c r="B11" s="28" t="s">
        <v>11</v>
      </c>
      <c r="C11" s="28"/>
      <c r="D11" s="28">
        <v>1</v>
      </c>
      <c r="E11" s="28">
        <v>2</v>
      </c>
      <c r="F11" s="28">
        <v>3</v>
      </c>
      <c r="G11" s="28">
        <v>4</v>
      </c>
      <c r="H11" s="28">
        <v>5</v>
      </c>
    </row>
    <row r="12" spans="2:17">
      <c r="B12" s="18" t="s">
        <v>12</v>
      </c>
      <c r="C12" s="18"/>
      <c r="D12" s="19">
        <v>270</v>
      </c>
      <c r="E12" s="19">
        <v>247.5</v>
      </c>
      <c r="F12" s="19">
        <v>268</v>
      </c>
      <c r="G12" s="19">
        <v>280</v>
      </c>
      <c r="H12" s="19">
        <v>290</v>
      </c>
    </row>
    <row r="13" spans="2:17">
      <c r="B13" s="18" t="s">
        <v>13</v>
      </c>
      <c r="C13" s="18"/>
      <c r="D13" s="18">
        <f>(D12*$C$5)*-1</f>
        <v>-81</v>
      </c>
      <c r="E13" s="18">
        <f t="shared" ref="E13:H13" si="0">(E12*$C$5)*-1</f>
        <v>-74.25</v>
      </c>
      <c r="F13" s="18">
        <f t="shared" si="0"/>
        <v>-80.399999999999991</v>
      </c>
      <c r="G13" s="18">
        <f t="shared" si="0"/>
        <v>-84</v>
      </c>
      <c r="H13" s="18">
        <f t="shared" si="0"/>
        <v>-87</v>
      </c>
    </row>
    <row r="14" spans="2:17">
      <c r="B14" s="20" t="s">
        <v>14</v>
      </c>
      <c r="C14" s="18"/>
      <c r="D14" s="19">
        <v>20</v>
      </c>
      <c r="E14" s="19">
        <v>22</v>
      </c>
      <c r="F14" s="19">
        <v>24.2</v>
      </c>
      <c r="G14" s="19">
        <v>26.6</v>
      </c>
      <c r="H14" s="19">
        <v>29.2</v>
      </c>
    </row>
    <row r="15" spans="2:17">
      <c r="B15" s="20" t="s">
        <v>15</v>
      </c>
      <c r="C15" s="18"/>
      <c r="D15" s="19">
        <v>-30</v>
      </c>
      <c r="E15" s="19">
        <v>-33</v>
      </c>
      <c r="F15" s="19">
        <v>-36.299999999999997</v>
      </c>
      <c r="G15" s="19">
        <v>-39.9</v>
      </c>
      <c r="H15" s="19">
        <v>-43.9</v>
      </c>
    </row>
    <row r="16" spans="2:17">
      <c r="B16" s="18" t="s">
        <v>16</v>
      </c>
      <c r="C16" s="18" t="s">
        <v>17</v>
      </c>
      <c r="D16" s="19">
        <v>-2.8</v>
      </c>
      <c r="E16" s="19">
        <v>-4.2</v>
      </c>
      <c r="F16" s="19">
        <v>-4.7</v>
      </c>
      <c r="G16" s="19">
        <v>-1.9</v>
      </c>
      <c r="H16" s="19">
        <v>-5</v>
      </c>
    </row>
    <row r="17" spans="2:8">
      <c r="B17" t="s">
        <v>18</v>
      </c>
    </row>
    <row r="18" spans="2:8">
      <c r="B18" s="29" t="s">
        <v>19</v>
      </c>
      <c r="C18" s="29"/>
      <c r="D18" s="29">
        <f>D12+D13+D14+D15-D16+D17</f>
        <v>181.8</v>
      </c>
      <c r="E18" s="29">
        <f t="shared" ref="E18:H18" si="1">E12+E13+E14+E15-E16+E17</f>
        <v>166.45</v>
      </c>
      <c r="F18" s="29">
        <f t="shared" si="1"/>
        <v>180.2</v>
      </c>
      <c r="G18" s="29">
        <f t="shared" si="1"/>
        <v>184.6</v>
      </c>
      <c r="H18" s="29">
        <f t="shared" si="1"/>
        <v>193.29999999999998</v>
      </c>
    </row>
    <row r="19" spans="2:8">
      <c r="B19" s="18"/>
      <c r="C19" s="18"/>
      <c r="D19" s="18"/>
      <c r="E19" s="18"/>
      <c r="F19" s="18"/>
      <c r="G19" s="18"/>
      <c r="H19" s="18"/>
    </row>
    <row r="20" spans="2:8">
      <c r="B20" s="18" t="s">
        <v>20</v>
      </c>
      <c r="C20" s="18"/>
      <c r="D20" s="18"/>
      <c r="E20" s="18"/>
      <c r="F20" s="18"/>
      <c r="G20" s="18"/>
      <c r="H20" s="23">
        <f>(H18*(1+C6))/(C7-C6)</f>
        <v>3981.9799999999996</v>
      </c>
    </row>
    <row r="21" spans="2:8">
      <c r="B21" s="18"/>
      <c r="C21" s="18"/>
      <c r="D21" s="18"/>
      <c r="E21" s="18"/>
      <c r="F21" s="18"/>
      <c r="G21" s="18"/>
      <c r="H21" s="18"/>
    </row>
    <row r="22" spans="2:8">
      <c r="B22" s="21" t="s">
        <v>21</v>
      </c>
      <c r="C22" s="21" t="s">
        <v>17</v>
      </c>
      <c r="D22" s="24">
        <f>1/(1+$C$7)^D11</f>
        <v>0.92592592592592582</v>
      </c>
      <c r="E22" s="24">
        <f t="shared" ref="E22:H22" si="2">1/(1+$C$7)^E11</f>
        <v>0.85733882030178321</v>
      </c>
      <c r="F22" s="24">
        <f t="shared" si="2"/>
        <v>0.79383224102016958</v>
      </c>
      <c r="G22" s="24">
        <f t="shared" si="2"/>
        <v>0.73502985279645328</v>
      </c>
      <c r="H22" s="24">
        <f t="shared" si="2"/>
        <v>0.68058319703375303</v>
      </c>
    </row>
    <row r="23" spans="2:8">
      <c r="B23" s="22" t="s">
        <v>22</v>
      </c>
      <c r="C23" s="22"/>
      <c r="D23" s="34">
        <f>D18*D22</f>
        <v>168.33333333333331</v>
      </c>
      <c r="E23" s="34">
        <f t="shared" ref="E23:H23" si="3">E18*E22</f>
        <v>142.70404663923182</v>
      </c>
      <c r="F23" s="34">
        <f t="shared" si="3"/>
        <v>143.04856983183456</v>
      </c>
      <c r="G23" s="34">
        <f t="shared" si="3"/>
        <v>135.68651082622526</v>
      </c>
      <c r="H23" s="34">
        <f t="shared" si="3"/>
        <v>131.55673198662444</v>
      </c>
    </row>
    <row r="24" spans="2:8">
      <c r="B24" s="18"/>
      <c r="C24" s="18"/>
      <c r="D24" s="18"/>
      <c r="E24" s="18"/>
      <c r="F24" s="18"/>
      <c r="G24" s="18"/>
      <c r="H24" s="18"/>
    </row>
    <row r="25" spans="2:8">
      <c r="B25" s="18" t="s">
        <v>23</v>
      </c>
      <c r="C25" s="18">
        <f>SUM(D23:H23)</f>
        <v>721.3291926172493</v>
      </c>
      <c r="D25" s="18"/>
      <c r="E25" s="18"/>
      <c r="F25" s="18"/>
      <c r="G25" s="18"/>
      <c r="H25" s="18"/>
    </row>
    <row r="26" spans="2:8">
      <c r="B26" s="18" t="s">
        <v>24</v>
      </c>
      <c r="C26" s="23">
        <f>H20*H22</f>
        <v>2710.0686789244637</v>
      </c>
      <c r="D26" s="18"/>
      <c r="E26" s="18"/>
      <c r="F26" s="18"/>
      <c r="G26" s="18"/>
      <c r="H26" s="18"/>
    </row>
    <row r="27" spans="2:8">
      <c r="B27" s="25" t="s">
        <v>25</v>
      </c>
      <c r="C27" s="26">
        <f>C25+C26</f>
        <v>3431.3978715417129</v>
      </c>
      <c r="D27" s="18"/>
      <c r="E27" s="18"/>
      <c r="F27" s="18"/>
      <c r="G27" s="18"/>
      <c r="H27" s="18"/>
    </row>
    <row r="28" spans="2:8">
      <c r="B28" s="18"/>
      <c r="C28" s="18"/>
      <c r="D28" s="18"/>
      <c r="E28" s="18"/>
      <c r="F28" s="18"/>
      <c r="G28" s="18"/>
      <c r="H28" s="18"/>
    </row>
    <row r="29" spans="2:8">
      <c r="B29" s="20" t="s">
        <v>26</v>
      </c>
      <c r="C29" s="19">
        <v>124.2</v>
      </c>
      <c r="D29" s="18"/>
      <c r="E29" s="18"/>
      <c r="F29" s="18"/>
      <c r="G29" s="18"/>
      <c r="H29" s="18"/>
    </row>
    <row r="30" spans="2:8">
      <c r="B30" s="20" t="s">
        <v>27</v>
      </c>
      <c r="C30" s="19">
        <v>-500</v>
      </c>
      <c r="D30" s="18"/>
      <c r="E30" s="18"/>
      <c r="F30" s="18"/>
      <c r="G30" s="18"/>
      <c r="H30" s="18"/>
    </row>
    <row r="31" spans="2:8">
      <c r="B31" s="25" t="s">
        <v>28</v>
      </c>
      <c r="C31" s="26">
        <f>C29+C30+C27</f>
        <v>3055.5978715417127</v>
      </c>
      <c r="D31" s="18"/>
      <c r="E31" s="18"/>
      <c r="F31" s="18"/>
      <c r="G31" s="18"/>
      <c r="H31" s="18"/>
    </row>
    <row r="32" spans="2:8">
      <c r="B32" s="18"/>
      <c r="C32" s="18"/>
      <c r="D32" s="18"/>
      <c r="E32" s="18"/>
      <c r="F32" s="18"/>
      <c r="G32" s="18"/>
      <c r="H32" s="18"/>
    </row>
    <row r="33" spans="2:8">
      <c r="B33" s="18" t="s">
        <v>29</v>
      </c>
      <c r="C33" s="23">
        <f>C8*C9</f>
        <v>3000</v>
      </c>
      <c r="D33" s="21" t="s">
        <v>17</v>
      </c>
      <c r="E33" s="18"/>
      <c r="F33" s="18"/>
      <c r="G33" s="18"/>
      <c r="H33" s="18"/>
    </row>
    <row r="34" spans="2:8">
      <c r="B34" s="25" t="s">
        <v>30</v>
      </c>
      <c r="C34" s="26">
        <f>C31-C33</f>
        <v>55.597871541712721</v>
      </c>
      <c r="D34" s="27">
        <f>C34/C33</f>
        <v>1.8532623847237573E-2</v>
      </c>
      <c r="E34" s="18"/>
      <c r="F34" s="18"/>
      <c r="G34" s="18"/>
      <c r="H3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7F673-CBDA-3F4B-AE0A-48100C14FFE4}">
  <dimension ref="A1:N46"/>
  <sheetViews>
    <sheetView showGridLines="0" topLeftCell="A28" zoomScale="150" workbookViewId="0">
      <selection activeCell="C51" sqref="C51"/>
    </sheetView>
  </sheetViews>
  <sheetFormatPr baseColWidth="10" defaultColWidth="11" defaultRowHeight="14"/>
  <cols>
    <col min="1" max="1" width="1.5" style="83" customWidth="1"/>
    <col min="2" max="2" width="17.1640625" style="83" customWidth="1"/>
    <col min="3" max="4" width="11" style="83"/>
    <col min="5" max="5" width="11" style="83" customWidth="1"/>
    <col min="6" max="6" width="11" style="83"/>
    <col min="7" max="7" width="11" style="83" hidden="1" customWidth="1"/>
    <col min="8" max="8" width="7.5" style="83" hidden="1" customWidth="1"/>
    <col min="9" max="13" width="11" style="83"/>
    <col min="14" max="14" width="14.83203125" style="83" bestFit="1" customWidth="1"/>
    <col min="15" max="16384" width="11" style="83"/>
  </cols>
  <sheetData>
    <row r="1" spans="1:14" ht="20" customHeight="1">
      <c r="A1" s="145" t="s">
        <v>31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</row>
    <row r="3" spans="1:14" ht="16" customHeight="1">
      <c r="B3" s="43" t="s">
        <v>32</v>
      </c>
      <c r="C3" s="45"/>
      <c r="D3" s="146" t="s">
        <v>33</v>
      </c>
      <c r="E3" s="146"/>
    </row>
    <row r="4" spans="1:14" ht="15">
      <c r="B4" s="49" t="s">
        <v>34</v>
      </c>
      <c r="C4" s="62">
        <f>1/159.65</f>
        <v>6.2637018477920449E-3</v>
      </c>
      <c r="D4" s="144" t="s">
        <v>35</v>
      </c>
      <c r="E4" s="144"/>
    </row>
    <row r="5" spans="1:14" ht="15">
      <c r="B5" s="49" t="s">
        <v>36</v>
      </c>
      <c r="C5" s="63">
        <f>1/1510.85</f>
        <v>6.6187907469305359E-4</v>
      </c>
      <c r="D5" s="144" t="s">
        <v>35</v>
      </c>
      <c r="E5" s="144"/>
    </row>
    <row r="6" spans="1:14">
      <c r="B6" s="49"/>
      <c r="C6" s="64"/>
      <c r="D6" s="99"/>
    </row>
    <row r="7" spans="1:14" s="100" customFormat="1" ht="16" customHeight="1">
      <c r="B7" s="43" t="s">
        <v>37</v>
      </c>
      <c r="C7" s="45"/>
      <c r="D7" s="146" t="s">
        <v>38</v>
      </c>
      <c r="E7" s="146"/>
      <c r="F7" s="146"/>
      <c r="G7" s="45"/>
    </row>
    <row r="8" spans="1:14" ht="24" customHeight="1">
      <c r="B8" s="49" t="s">
        <v>39</v>
      </c>
      <c r="C8" s="65" t="s">
        <v>40</v>
      </c>
      <c r="D8" s="144" t="s">
        <v>41</v>
      </c>
      <c r="E8" s="144"/>
      <c r="F8" s="144"/>
      <c r="G8" s="144"/>
    </row>
    <row r="9" spans="1:14" ht="19" customHeight="1">
      <c r="B9" s="49" t="s">
        <v>42</v>
      </c>
      <c r="C9" s="65" t="s">
        <v>43</v>
      </c>
      <c r="D9" s="144" t="s">
        <v>44</v>
      </c>
      <c r="E9" s="144"/>
      <c r="F9" s="144"/>
      <c r="G9" s="144"/>
    </row>
    <row r="10" spans="1:14" ht="21" customHeight="1">
      <c r="B10" s="49" t="s">
        <v>45</v>
      </c>
      <c r="C10" s="66">
        <v>0.2</v>
      </c>
      <c r="D10" s="144" t="s">
        <v>46</v>
      </c>
      <c r="E10" s="144"/>
      <c r="F10" s="144"/>
      <c r="G10" s="144"/>
    </row>
    <row r="12" spans="1:14" ht="19" customHeight="1">
      <c r="B12" s="143" t="s">
        <v>47</v>
      </c>
      <c r="C12" s="143"/>
      <c r="D12" s="143"/>
      <c r="E12" s="143"/>
      <c r="F12" s="143"/>
      <c r="G12" s="143"/>
      <c r="H12" s="143"/>
      <c r="I12" s="143"/>
      <c r="J12" s="143"/>
      <c r="K12" s="143"/>
      <c r="L12" s="143"/>
    </row>
    <row r="13" spans="1:14" ht="20" customHeight="1">
      <c r="B13" s="144" t="s">
        <v>48</v>
      </c>
      <c r="C13" s="144"/>
      <c r="D13" s="144"/>
      <c r="E13" s="144"/>
      <c r="F13" s="144"/>
      <c r="G13" s="144"/>
      <c r="H13" s="144"/>
      <c r="I13" s="144"/>
      <c r="J13" s="144"/>
      <c r="K13" s="144"/>
      <c r="L13" s="144"/>
    </row>
    <row r="15" spans="1:14" ht="52" customHeight="1">
      <c r="B15" s="67" t="s">
        <v>49</v>
      </c>
      <c r="C15" s="67" t="s">
        <v>50</v>
      </c>
      <c r="D15" s="67" t="s">
        <v>51</v>
      </c>
      <c r="E15" s="67" t="s">
        <v>52</v>
      </c>
      <c r="F15" s="67" t="s">
        <v>53</v>
      </c>
      <c r="G15" s="67" t="s">
        <v>54</v>
      </c>
      <c r="H15" s="67" t="s">
        <v>55</v>
      </c>
      <c r="I15" s="67" t="s">
        <v>56</v>
      </c>
      <c r="J15" s="67" t="s">
        <v>57</v>
      </c>
      <c r="K15" s="67" t="s">
        <v>58</v>
      </c>
      <c r="L15" s="67" t="s">
        <v>59</v>
      </c>
      <c r="M15" s="67" t="s">
        <v>60</v>
      </c>
      <c r="N15" s="67" t="s">
        <v>33</v>
      </c>
    </row>
    <row r="16" spans="1:14" ht="15" hidden="1">
      <c r="B16" s="68" t="s">
        <v>61</v>
      </c>
      <c r="C16" s="69">
        <v>634.79999999999995</v>
      </c>
      <c r="D16" s="69">
        <v>478.52</v>
      </c>
      <c r="E16" s="69">
        <v>82.499390000000005</v>
      </c>
      <c r="F16" s="50">
        <v>0.1181</v>
      </c>
      <c r="G16" s="69"/>
      <c r="H16" s="50">
        <v>0.5776</v>
      </c>
      <c r="I16" s="69">
        <v>34.993049999999997</v>
      </c>
      <c r="J16" s="50">
        <v>0.37659999999999999</v>
      </c>
      <c r="K16" s="70">
        <f>D16/I16</f>
        <v>13.67471540777383</v>
      </c>
      <c r="L16" s="70">
        <f>D16/E16</f>
        <v>5.800285311200482</v>
      </c>
      <c r="M16" s="71">
        <v>0.91</v>
      </c>
    </row>
    <row r="17" spans="2:14" ht="31" customHeight="1">
      <c r="B17" s="68" t="s">
        <v>62</v>
      </c>
      <c r="C17" s="72">
        <v>3473.79</v>
      </c>
      <c r="D17" s="72">
        <v>7844.77</v>
      </c>
      <c r="E17" s="72">
        <v>4180</v>
      </c>
      <c r="F17" s="50">
        <v>0.25490000000000002</v>
      </c>
      <c r="G17" s="72"/>
      <c r="H17" s="50"/>
      <c r="I17" s="72">
        <v>853</v>
      </c>
      <c r="J17" s="50">
        <v>0.1007</v>
      </c>
      <c r="K17" s="70">
        <f>D17/I17</f>
        <v>9.1966822977725684</v>
      </c>
      <c r="L17" s="70">
        <f>D17/E17</f>
        <v>1.8767392344497609</v>
      </c>
      <c r="M17" s="71">
        <v>1.49</v>
      </c>
      <c r="N17" s="101" t="s">
        <v>63</v>
      </c>
    </row>
    <row r="18" spans="2:14" ht="31" customHeight="1">
      <c r="B18" s="68" t="s">
        <v>64</v>
      </c>
      <c r="C18" s="73">
        <v>6480</v>
      </c>
      <c r="D18" s="73">
        <v>4359.34</v>
      </c>
      <c r="E18" s="73">
        <v>939.08</v>
      </c>
      <c r="F18" s="50">
        <v>0.25627800000000001</v>
      </c>
      <c r="G18" s="69"/>
      <c r="H18" s="50"/>
      <c r="I18" s="73">
        <v>95.79</v>
      </c>
      <c r="J18" s="50">
        <v>4.9299999999999997E-2</v>
      </c>
      <c r="K18" s="70">
        <f>D18/I18</f>
        <v>45.509343355256291</v>
      </c>
      <c r="L18" s="70">
        <f>D18/E18</f>
        <v>4.6421391148783915</v>
      </c>
      <c r="M18" s="71">
        <v>1.1100000000000001</v>
      </c>
      <c r="N18" s="101" t="s">
        <v>63</v>
      </c>
    </row>
    <row r="19" spans="2:14" ht="31" hidden="1" customHeight="1">
      <c r="B19" s="68" t="s">
        <v>65</v>
      </c>
      <c r="C19" s="73">
        <v>581.96</v>
      </c>
      <c r="D19" s="73">
        <v>166.75124</v>
      </c>
      <c r="E19" s="73">
        <v>1234.8800000000001</v>
      </c>
      <c r="F19" s="50">
        <v>0.1172</v>
      </c>
      <c r="G19" s="69"/>
      <c r="H19" s="50"/>
      <c r="I19" s="73">
        <v>61.27</v>
      </c>
      <c r="J19" s="50">
        <v>4.4299999999999999E-2</v>
      </c>
      <c r="K19" s="70">
        <f>D19/I19</f>
        <v>2.7215805451281212</v>
      </c>
      <c r="L19" s="70">
        <f>D19/E19</f>
        <v>0.13503436771184243</v>
      </c>
      <c r="M19" s="71">
        <v>0.95</v>
      </c>
      <c r="N19" s="101"/>
    </row>
    <row r="20" spans="2:14" ht="29" customHeight="1">
      <c r="B20" s="68" t="s">
        <v>66</v>
      </c>
      <c r="C20" s="74"/>
      <c r="D20" s="74"/>
      <c r="E20" s="69">
        <v>299.07799999999997</v>
      </c>
      <c r="F20" s="50">
        <v>0.17463999999999999</v>
      </c>
      <c r="G20" s="69">
        <v>62.079000000000001</v>
      </c>
      <c r="H20" s="50">
        <v>0.13300000000000001</v>
      </c>
      <c r="I20" s="69">
        <v>58.65</v>
      </c>
      <c r="J20" s="50">
        <v>0.1187</v>
      </c>
      <c r="K20" s="75"/>
      <c r="L20" s="75"/>
      <c r="M20" s="102"/>
      <c r="N20" s="101" t="s">
        <v>67</v>
      </c>
    </row>
    <row r="21" spans="2:14" ht="19" customHeight="1"/>
    <row r="22" spans="2:14">
      <c r="B22" s="143" t="s">
        <v>68</v>
      </c>
      <c r="C22" s="143"/>
      <c r="D22" s="143"/>
      <c r="E22" s="143"/>
      <c r="F22" s="143"/>
      <c r="G22" s="143"/>
      <c r="H22" s="143"/>
      <c r="I22" s="143"/>
      <c r="J22" s="143"/>
      <c r="K22" s="143"/>
      <c r="L22" s="143"/>
    </row>
    <row r="23" spans="2:14">
      <c r="B23" s="144" t="s">
        <v>69</v>
      </c>
      <c r="C23" s="144"/>
      <c r="D23" s="144"/>
      <c r="E23" s="144"/>
      <c r="F23" s="144"/>
      <c r="G23" s="144"/>
      <c r="H23" s="144"/>
      <c r="I23" s="144"/>
      <c r="J23" s="144"/>
      <c r="K23" s="144"/>
      <c r="L23" s="144"/>
    </row>
    <row r="25" spans="2:14" ht="42" customHeight="1">
      <c r="B25" s="67" t="s">
        <v>49</v>
      </c>
      <c r="C25" s="67" t="str">
        <f t="shared" ref="C25:M25" si="0">C15</f>
        <v>Market Cap</v>
      </c>
      <c r="D25" s="67" t="str">
        <f t="shared" si="0"/>
        <v>EV</v>
      </c>
      <c r="E25" s="67" t="str">
        <f t="shared" si="0"/>
        <v>Revenue (Last financial yr)</v>
      </c>
      <c r="F25" s="67" t="str">
        <f t="shared" si="0"/>
        <v>Revenue Growth (%)</v>
      </c>
      <c r="G25" s="67" t="str">
        <f t="shared" si="0"/>
        <v>Net Debt</v>
      </c>
      <c r="H25" s="67" t="str">
        <f t="shared" si="0"/>
        <v>Net Debt/Equity (%)</v>
      </c>
      <c r="I25" s="67" t="str">
        <f t="shared" si="0"/>
        <v>EBITDA</v>
      </c>
      <c r="J25" s="67" t="str">
        <f t="shared" si="0"/>
        <v>Operating Margin (%)</v>
      </c>
      <c r="K25" s="67" t="str">
        <f t="shared" si="0"/>
        <v>EV/EBITDA</v>
      </c>
      <c r="L25" s="67" t="str">
        <f t="shared" si="0"/>
        <v>EV/Revenue</v>
      </c>
      <c r="M25" s="67" t="str">
        <f t="shared" si="0"/>
        <v>Beta</v>
      </c>
      <c r="N25" s="97"/>
    </row>
    <row r="26" spans="2:14" ht="15" hidden="1">
      <c r="B26" s="68" t="str">
        <f>B16</f>
        <v>GMO Payment Gateway</v>
      </c>
      <c r="C26" s="76">
        <f>$C$4*C16*1000</f>
        <v>3976.1979329783894</v>
      </c>
      <c r="D26" s="76">
        <f>$C$4*D16*1000</f>
        <v>2997.3066082054493</v>
      </c>
      <c r="E26" s="76">
        <f>$C$4*E16*1000</f>
        <v>516.75158158471652</v>
      </c>
      <c r="F26" s="77">
        <f>F16</f>
        <v>0.1181</v>
      </c>
      <c r="G26" s="78">
        <f>G16*$C$4*1000</f>
        <v>0</v>
      </c>
      <c r="H26" s="79">
        <f>H16</f>
        <v>0.5776</v>
      </c>
      <c r="I26" s="76">
        <f>I16*$C$4*1000</f>
        <v>219.1860319448794</v>
      </c>
      <c r="J26" s="77">
        <f>J16</f>
        <v>0.37659999999999999</v>
      </c>
      <c r="K26" s="70">
        <f>K16</f>
        <v>13.67471540777383</v>
      </c>
      <c r="L26" s="70">
        <f>L16</f>
        <v>5.800285311200482</v>
      </c>
      <c r="M26" s="80">
        <f>M16</f>
        <v>0.91</v>
      </c>
    </row>
    <row r="27" spans="2:14" ht="31" customHeight="1">
      <c r="B27" s="68" t="str">
        <f>B17</f>
        <v xml:space="preserve">Shift4 Payments, Inc. </v>
      </c>
      <c r="C27" s="76">
        <f>C17</f>
        <v>3473.79</v>
      </c>
      <c r="D27" s="76">
        <f t="shared" ref="D27:M27" si="1">D17</f>
        <v>7844.77</v>
      </c>
      <c r="E27" s="76">
        <f t="shared" si="1"/>
        <v>4180</v>
      </c>
      <c r="F27" s="81">
        <f t="shared" si="1"/>
        <v>0.25490000000000002</v>
      </c>
      <c r="G27" s="76">
        <f t="shared" si="1"/>
        <v>0</v>
      </c>
      <c r="H27" s="81">
        <f t="shared" si="1"/>
        <v>0</v>
      </c>
      <c r="I27" s="76">
        <f t="shared" si="1"/>
        <v>853</v>
      </c>
      <c r="J27" s="81">
        <f t="shared" si="1"/>
        <v>0.1007</v>
      </c>
      <c r="K27" s="70">
        <f t="shared" si="1"/>
        <v>9.1966822977725684</v>
      </c>
      <c r="L27" s="70">
        <f t="shared" si="1"/>
        <v>1.8767392344497609</v>
      </c>
      <c r="M27" s="80">
        <f t="shared" si="1"/>
        <v>1.49</v>
      </c>
      <c r="N27" s="101"/>
    </row>
    <row r="28" spans="2:14" ht="30" customHeight="1">
      <c r="B28" s="68" t="str">
        <f>B18</f>
        <v>KakaoPay Corp.</v>
      </c>
      <c r="C28" s="76">
        <f t="shared" ref="C28:E29" si="2">C18*$C$5*1000</f>
        <v>4288.9764040109876</v>
      </c>
      <c r="D28" s="76">
        <f t="shared" si="2"/>
        <v>2885.3559254724159</v>
      </c>
      <c r="E28" s="76">
        <f t="shared" si="2"/>
        <v>621.55740146275286</v>
      </c>
      <c r="F28" s="77">
        <f>F18</f>
        <v>0.25627800000000001</v>
      </c>
      <c r="G28" s="78">
        <f>G18*$C$5*1000</f>
        <v>0</v>
      </c>
      <c r="H28" s="79">
        <f>H18</f>
        <v>0</v>
      </c>
      <c r="I28" s="76">
        <f>I18*$C$5*1000</f>
        <v>63.401396564847609</v>
      </c>
      <c r="J28" s="77">
        <f>J18</f>
        <v>4.9299999999999997E-2</v>
      </c>
      <c r="K28" s="70">
        <f t="shared" ref="K28:M28" si="3">K18</f>
        <v>45.509343355256291</v>
      </c>
      <c r="L28" s="70">
        <f t="shared" si="3"/>
        <v>4.6421391148783915</v>
      </c>
      <c r="M28" s="80">
        <f t="shared" si="3"/>
        <v>1.1100000000000001</v>
      </c>
      <c r="N28" s="101"/>
    </row>
    <row r="29" spans="2:14" ht="30" hidden="1" customHeight="1">
      <c r="B29" s="68" t="str">
        <f>B19</f>
        <v xml:space="preserve">NHN KCP Corp. </v>
      </c>
      <c r="C29" s="76">
        <f t="shared" si="2"/>
        <v>385.18714630836945</v>
      </c>
      <c r="D29" s="76">
        <f t="shared" si="2"/>
        <v>110.36915643511929</v>
      </c>
      <c r="E29" s="76">
        <f t="shared" si="2"/>
        <v>817.34123175695811</v>
      </c>
      <c r="F29" s="77">
        <f>F19</f>
        <v>0.1172</v>
      </c>
      <c r="G29" s="78">
        <f>G19*$C$5*1000</f>
        <v>0</v>
      </c>
      <c r="H29" s="79">
        <f>H19</f>
        <v>0</v>
      </c>
      <c r="I29" s="76">
        <f>I19*$C$5*1000</f>
        <v>40.553330906443399</v>
      </c>
      <c r="J29" s="77">
        <f>J19</f>
        <v>4.4299999999999999E-2</v>
      </c>
      <c r="K29" s="70">
        <f t="shared" ref="K29:M29" si="4">K19</f>
        <v>2.7215805451281212</v>
      </c>
      <c r="L29" s="70">
        <f t="shared" si="4"/>
        <v>0.13503436771184243</v>
      </c>
      <c r="M29" s="80">
        <f t="shared" si="4"/>
        <v>0.95</v>
      </c>
      <c r="N29" s="101"/>
    </row>
    <row r="30" spans="2:14" ht="30" customHeight="1">
      <c r="B30" s="68" t="str">
        <f>B20</f>
        <v>PayPay</v>
      </c>
      <c r="E30" s="76">
        <f>E20*$C$4*1000</f>
        <v>1873.3354212339491</v>
      </c>
      <c r="F30" s="82">
        <f>F20</f>
        <v>0.17463999999999999</v>
      </c>
      <c r="G30" s="76">
        <f>G20*C4*1000</f>
        <v>388.84434700908236</v>
      </c>
      <c r="I30" s="76">
        <f>I20*$C$4*1000</f>
        <v>367.36611337300337</v>
      </c>
      <c r="J30" s="77">
        <f>J20</f>
        <v>0.1187</v>
      </c>
      <c r="N30" s="101"/>
    </row>
    <row r="32" spans="2:14">
      <c r="B32" s="143" t="s">
        <v>70</v>
      </c>
      <c r="C32" s="143"/>
      <c r="D32" s="143"/>
      <c r="E32" s="143"/>
      <c r="F32" s="143"/>
      <c r="G32" s="143"/>
      <c r="H32" s="143"/>
      <c r="I32" s="143"/>
      <c r="J32" s="143"/>
      <c r="K32" s="143"/>
      <c r="L32" s="143"/>
    </row>
    <row r="33" spans="2:12">
      <c r="B33" s="144" t="s">
        <v>69</v>
      </c>
      <c r="C33" s="144"/>
      <c r="D33" s="144"/>
      <c r="E33" s="144"/>
      <c r="F33" s="144"/>
      <c r="G33" s="144"/>
      <c r="H33" s="144"/>
      <c r="I33" s="144"/>
      <c r="J33" s="144"/>
      <c r="K33" s="144"/>
      <c r="L33" s="144"/>
    </row>
    <row r="34" spans="2:12">
      <c r="B34" s="38" t="s">
        <v>71</v>
      </c>
      <c r="C34" s="38" t="s">
        <v>72</v>
      </c>
      <c r="D34" s="147" t="s">
        <v>38</v>
      </c>
      <c r="E34" s="147"/>
    </row>
    <row r="35" spans="2:12" ht="27" customHeight="1">
      <c r="B35" s="83" t="s">
        <v>73</v>
      </c>
      <c r="C35" s="98">
        <f>E30</f>
        <v>1873.3354212339491</v>
      </c>
      <c r="D35" s="142"/>
      <c r="E35" s="142"/>
    </row>
    <row r="36" spans="2:12" ht="28" customHeight="1">
      <c r="B36" s="83" t="s">
        <v>74</v>
      </c>
      <c r="C36" s="98">
        <f>I30</f>
        <v>367.36611337300337</v>
      </c>
      <c r="D36" s="142"/>
      <c r="E36" s="142"/>
    </row>
    <row r="37" spans="2:12" ht="28" customHeight="1">
      <c r="B37" s="83" t="s">
        <v>54</v>
      </c>
      <c r="C37" s="98">
        <f>G30</f>
        <v>388.84434700908236</v>
      </c>
      <c r="D37" s="148" t="s">
        <v>75</v>
      </c>
      <c r="E37" s="148"/>
      <c r="F37" s="87"/>
    </row>
    <row r="38" spans="2:12">
      <c r="D38" s="149"/>
      <c r="E38" s="149"/>
    </row>
    <row r="39" spans="2:12">
      <c r="B39" s="143" t="s">
        <v>76</v>
      </c>
      <c r="C39" s="143"/>
      <c r="D39" s="143"/>
      <c r="E39" s="143"/>
      <c r="F39" s="143"/>
      <c r="G39" s="143"/>
      <c r="H39" s="143"/>
      <c r="I39" s="143"/>
      <c r="J39" s="143"/>
      <c r="K39" s="143"/>
      <c r="L39" s="143"/>
    </row>
    <row r="40" spans="2:12">
      <c r="B40" s="144" t="s">
        <v>69</v>
      </c>
      <c r="C40" s="144"/>
      <c r="D40" s="144"/>
      <c r="E40" s="144"/>
      <c r="F40" s="144"/>
      <c r="G40" s="144"/>
      <c r="H40" s="144"/>
      <c r="I40" s="144"/>
      <c r="J40" s="144"/>
      <c r="K40" s="144"/>
      <c r="L40" s="144"/>
    </row>
    <row r="41" spans="2:12">
      <c r="B41" s="38" t="s">
        <v>71</v>
      </c>
      <c r="C41" s="38" t="s">
        <v>77</v>
      </c>
      <c r="D41" s="38" t="s">
        <v>78</v>
      </c>
      <c r="E41" s="38" t="s">
        <v>79</v>
      </c>
      <c r="F41" s="147" t="s">
        <v>38</v>
      </c>
      <c r="G41" s="147"/>
      <c r="H41" s="147"/>
      <c r="I41" s="147"/>
    </row>
    <row r="42" spans="2:12" ht="28" customHeight="1">
      <c r="B42" s="83" t="s">
        <v>80</v>
      </c>
      <c r="C42" s="98">
        <f>MIN(L27:L28)*C35</f>
        <v>3515.7620843142217</v>
      </c>
      <c r="D42" s="98">
        <f>MAX(L27:L28)*C35</f>
        <v>8696.2836341973034</v>
      </c>
      <c r="E42" s="98">
        <f>AVERAGE(L27:L28)*C35</f>
        <v>6106.0228592557623</v>
      </c>
      <c r="F42" s="142" t="s">
        <v>81</v>
      </c>
      <c r="G42" s="142"/>
      <c r="H42" s="142"/>
      <c r="I42" s="142"/>
    </row>
    <row r="43" spans="2:12" ht="27" customHeight="1">
      <c r="B43" s="87" t="s">
        <v>82</v>
      </c>
      <c r="C43" s="98">
        <f>C42-$C$37</f>
        <v>3126.9177373051393</v>
      </c>
      <c r="D43" s="98">
        <f t="shared" ref="D43:E43" si="5">D42-$C$37</f>
        <v>8307.439287188221</v>
      </c>
      <c r="E43" s="98">
        <f t="shared" si="5"/>
        <v>5717.1785122466799</v>
      </c>
      <c r="F43" s="142" t="s">
        <v>83</v>
      </c>
      <c r="G43" s="142"/>
      <c r="H43" s="142"/>
      <c r="I43" s="142"/>
    </row>
    <row r="44" spans="2:12" ht="24" customHeight="1">
      <c r="B44" s="83" t="s">
        <v>84</v>
      </c>
      <c r="C44" s="139">
        <f>(1-$C$10)*C43</f>
        <v>2501.5341898441116</v>
      </c>
      <c r="D44" s="139">
        <f t="shared" ref="D44:E44" si="6">(1-$C$10)*D43</f>
        <v>6645.9514297505775</v>
      </c>
      <c r="E44" s="139">
        <f t="shared" si="6"/>
        <v>4573.7428097973443</v>
      </c>
      <c r="F44" s="142" t="s">
        <v>85</v>
      </c>
      <c r="G44" s="142"/>
      <c r="H44" s="142"/>
      <c r="I44" s="142"/>
    </row>
    <row r="46" spans="2:12">
      <c r="C46" s="98"/>
      <c r="D46" s="98"/>
    </row>
  </sheetData>
  <mergeCells count="25">
    <mergeCell ref="F42:I42"/>
    <mergeCell ref="F43:I43"/>
    <mergeCell ref="F44:I44"/>
    <mergeCell ref="D36:E36"/>
    <mergeCell ref="D37:E37"/>
    <mergeCell ref="D38:E38"/>
    <mergeCell ref="B39:L39"/>
    <mergeCell ref="B40:L40"/>
    <mergeCell ref="F41:I41"/>
    <mergeCell ref="D35:E35"/>
    <mergeCell ref="B22:L22"/>
    <mergeCell ref="B23:L23"/>
    <mergeCell ref="A1:M1"/>
    <mergeCell ref="D8:G8"/>
    <mergeCell ref="D9:G9"/>
    <mergeCell ref="D10:G10"/>
    <mergeCell ref="B12:L12"/>
    <mergeCell ref="B13:L13"/>
    <mergeCell ref="D4:E4"/>
    <mergeCell ref="D5:E5"/>
    <mergeCell ref="B32:L32"/>
    <mergeCell ref="B33:L33"/>
    <mergeCell ref="D3:E3"/>
    <mergeCell ref="D7:F7"/>
    <mergeCell ref="D34:E34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1B7DA-883B-4B42-914A-8A2D9EADBC28}">
  <dimension ref="A1:N102"/>
  <sheetViews>
    <sheetView showGridLines="0" zoomScale="136" workbookViewId="0">
      <selection activeCell="K55" sqref="K55"/>
    </sheetView>
  </sheetViews>
  <sheetFormatPr baseColWidth="10" defaultColWidth="8.83203125" defaultRowHeight="14"/>
  <cols>
    <col min="1" max="1" width="1.6640625" style="83" customWidth="1"/>
    <col min="2" max="2" width="23.5" style="83" customWidth="1"/>
    <col min="3" max="3" width="8.83203125" style="83"/>
    <col min="4" max="4" width="10.6640625" style="83" bestFit="1" customWidth="1"/>
    <col min="5" max="5" width="9" style="83" customWidth="1"/>
    <col min="6" max="6" width="8.83203125" style="83"/>
    <col min="7" max="7" width="9.6640625" style="83" customWidth="1"/>
    <col min="8" max="15" width="8.83203125" style="83"/>
    <col min="16" max="16" width="16.1640625" style="83" bestFit="1" customWidth="1"/>
    <col min="17" max="16384" width="8.83203125" style="83"/>
  </cols>
  <sheetData>
    <row r="1" spans="1:13">
      <c r="A1" s="145" t="s">
        <v>86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</row>
    <row r="3" spans="1:13" ht="15">
      <c r="B3" s="45" t="s">
        <v>87</v>
      </c>
      <c r="C3" s="45"/>
      <c r="D3" s="146" t="s">
        <v>38</v>
      </c>
      <c r="E3" s="146"/>
      <c r="F3" s="146" t="s">
        <v>33</v>
      </c>
      <c r="G3" s="146"/>
    </row>
    <row r="4" spans="1:13" ht="23" customHeight="1">
      <c r="B4" s="49" t="s">
        <v>88</v>
      </c>
      <c r="C4" s="84">
        <v>270</v>
      </c>
      <c r="D4" s="150" t="s">
        <v>89</v>
      </c>
      <c r="E4" s="150"/>
      <c r="F4" s="153" t="s">
        <v>90</v>
      </c>
      <c r="G4" s="153"/>
    </row>
    <row r="5" spans="1:13" ht="16" customHeight="1">
      <c r="B5" s="49" t="s">
        <v>91</v>
      </c>
      <c r="C5" s="50">
        <v>0.314</v>
      </c>
      <c r="D5" s="150"/>
      <c r="E5" s="150"/>
      <c r="F5" s="153"/>
      <c r="G5" s="153"/>
      <c r="H5" s="104"/>
    </row>
    <row r="6" spans="1:13" ht="16" customHeight="1">
      <c r="B6" s="85" t="s">
        <v>92</v>
      </c>
      <c r="C6" s="50">
        <v>0.4783</v>
      </c>
      <c r="D6" s="150" t="s">
        <v>93</v>
      </c>
      <c r="E6" s="150"/>
      <c r="F6" s="153"/>
      <c r="G6" s="153"/>
      <c r="H6" s="104"/>
    </row>
    <row r="7" spans="1:13" ht="16" customHeight="1">
      <c r="A7" s="100"/>
      <c r="B7" s="83" t="s">
        <v>94</v>
      </c>
      <c r="C7" s="50">
        <v>0.64</v>
      </c>
      <c r="D7" s="150" t="s">
        <v>95</v>
      </c>
      <c r="E7" s="150"/>
      <c r="F7" s="150" t="s">
        <v>96</v>
      </c>
      <c r="G7" s="150"/>
      <c r="J7" s="100"/>
      <c r="K7" s="100"/>
      <c r="L7" s="100"/>
      <c r="M7" s="100"/>
    </row>
    <row r="8" spans="1:13" ht="27" customHeight="1">
      <c r="A8" s="100"/>
      <c r="B8" s="83" t="s">
        <v>97</v>
      </c>
      <c r="C8" s="86">
        <f>C7*C6</f>
        <v>0.306112</v>
      </c>
      <c r="D8" s="150" t="s">
        <v>98</v>
      </c>
      <c r="E8" s="150"/>
      <c r="F8" s="150"/>
      <c r="G8" s="150"/>
      <c r="H8" s="104"/>
      <c r="J8" s="100"/>
      <c r="K8" s="100"/>
      <c r="L8" s="100"/>
      <c r="M8" s="100"/>
    </row>
    <row r="9" spans="1:13" ht="28" customHeight="1">
      <c r="B9" s="87" t="s">
        <v>99</v>
      </c>
      <c r="C9" s="50">
        <v>0.7</v>
      </c>
      <c r="D9" s="150" t="s">
        <v>100</v>
      </c>
      <c r="E9" s="150"/>
      <c r="F9" s="150"/>
      <c r="G9" s="150"/>
    </row>
    <row r="10" spans="1:13" ht="22" customHeight="1">
      <c r="B10" s="83" t="s">
        <v>101</v>
      </c>
      <c r="C10" s="51">
        <f>C9*C6</f>
        <v>0.33481</v>
      </c>
      <c r="D10" s="150" t="s">
        <v>102</v>
      </c>
      <c r="E10" s="150"/>
      <c r="F10" s="150"/>
      <c r="G10" s="150"/>
    </row>
    <row r="11" spans="1:13" ht="23" customHeight="1">
      <c r="B11" s="83" t="s">
        <v>103</v>
      </c>
      <c r="C11" s="51">
        <f>(C10/C8)^(1/6)-1</f>
        <v>1.5047449606243379E-2</v>
      </c>
      <c r="D11" s="150" t="s">
        <v>104</v>
      </c>
      <c r="E11" s="150"/>
      <c r="F11" s="150"/>
      <c r="G11" s="150"/>
    </row>
    <row r="14" spans="1:13" ht="15">
      <c r="B14" s="45" t="s">
        <v>105</v>
      </c>
      <c r="C14" s="45"/>
      <c r="D14" s="146" t="s">
        <v>38</v>
      </c>
      <c r="E14" s="146"/>
      <c r="F14" s="146"/>
      <c r="G14" s="146" t="s">
        <v>33</v>
      </c>
      <c r="H14" s="146"/>
    </row>
    <row r="15" spans="1:13" ht="16" customHeight="1">
      <c r="B15" s="49" t="s">
        <v>106</v>
      </c>
      <c r="C15" s="65">
        <v>15390</v>
      </c>
      <c r="D15" s="150" t="s">
        <v>107</v>
      </c>
      <c r="E15" s="150"/>
      <c r="F15" s="150"/>
      <c r="G15" s="153" t="s">
        <v>96</v>
      </c>
      <c r="H15" s="153"/>
    </row>
    <row r="16" spans="1:13" ht="16" customHeight="1">
      <c r="B16" s="49" t="s">
        <v>108</v>
      </c>
      <c r="C16" s="88">
        <f>C15*'Comparables '!C4</f>
        <v>96.398371437519572</v>
      </c>
      <c r="D16" s="150" t="s">
        <v>109</v>
      </c>
      <c r="E16" s="150"/>
      <c r="F16" s="150"/>
      <c r="G16" s="150"/>
      <c r="H16" s="150"/>
    </row>
    <row r="17" spans="2:14" ht="16" customHeight="1">
      <c r="B17" s="49" t="s">
        <v>110</v>
      </c>
      <c r="C17" s="89">
        <f>'Comparables '!J20</f>
        <v>0.1187</v>
      </c>
      <c r="D17" s="150" t="s">
        <v>111</v>
      </c>
      <c r="E17" s="150"/>
      <c r="F17" s="150"/>
      <c r="G17" s="150"/>
      <c r="H17" s="150"/>
    </row>
    <row r="18" spans="2:14" ht="24" customHeight="1">
      <c r="B18" s="49" t="s">
        <v>112</v>
      </c>
      <c r="C18" s="90">
        <f>(C31/C17)^(1/6)-1</f>
        <v>8.0322770931951393E-2</v>
      </c>
      <c r="D18" s="150" t="s">
        <v>113</v>
      </c>
      <c r="E18" s="150"/>
      <c r="F18" s="150"/>
      <c r="G18" s="150"/>
      <c r="H18" s="150"/>
    </row>
    <row r="19" spans="2:14" ht="16" customHeight="1">
      <c r="B19" s="49" t="s">
        <v>73</v>
      </c>
      <c r="C19" s="52">
        <f>C16*E25</f>
        <v>1.552013780144065</v>
      </c>
      <c r="D19" s="150" t="s">
        <v>114</v>
      </c>
      <c r="E19" s="150"/>
      <c r="F19" s="150"/>
      <c r="G19" s="150" t="s">
        <v>96</v>
      </c>
      <c r="H19" s="150"/>
    </row>
    <row r="20" spans="2:14" ht="16" customHeight="1">
      <c r="B20" s="49" t="s">
        <v>115</v>
      </c>
      <c r="C20" s="91">
        <v>399578</v>
      </c>
      <c r="D20" s="150" t="s">
        <v>116</v>
      </c>
      <c r="E20" s="150"/>
      <c r="F20" s="150"/>
      <c r="G20" s="153"/>
      <c r="H20" s="153"/>
    </row>
    <row r="21" spans="2:14" ht="16" customHeight="1">
      <c r="B21" s="49" t="s">
        <v>117</v>
      </c>
      <c r="C21" s="91">
        <v>223731</v>
      </c>
      <c r="D21" s="150" t="s">
        <v>116</v>
      </c>
      <c r="E21" s="150"/>
      <c r="F21" s="150"/>
      <c r="G21" s="153"/>
      <c r="H21" s="153"/>
    </row>
    <row r="22" spans="2:14" ht="16" customHeight="1">
      <c r="B22" s="83" t="s">
        <v>118</v>
      </c>
      <c r="C22" s="50">
        <v>0.3</v>
      </c>
      <c r="D22" s="150" t="s">
        <v>119</v>
      </c>
      <c r="E22" s="150"/>
      <c r="F22" s="150"/>
      <c r="G22" s="150"/>
      <c r="H22" s="150"/>
    </row>
    <row r="24" spans="2:14" ht="15">
      <c r="B24" s="45" t="s">
        <v>120</v>
      </c>
      <c r="C24" s="45">
        <v>2023</v>
      </c>
      <c r="D24" s="45">
        <v>2024</v>
      </c>
      <c r="E24" s="45">
        <v>2025</v>
      </c>
      <c r="F24" s="43" t="s">
        <v>79</v>
      </c>
    </row>
    <row r="25" spans="2:14" ht="15">
      <c r="B25" s="49" t="s">
        <v>121</v>
      </c>
      <c r="C25" s="92">
        <v>1.6299999999999999E-2</v>
      </c>
      <c r="D25" s="92">
        <v>1.7000000000000001E-2</v>
      </c>
      <c r="E25" s="92">
        <v>1.61E-2</v>
      </c>
      <c r="F25" s="89">
        <f>AVERAGE(C25:E25)</f>
        <v>1.6466666666666668E-2</v>
      </c>
    </row>
    <row r="26" spans="2:14">
      <c r="C26" s="104"/>
      <c r="D26" s="104"/>
      <c r="E26" s="104"/>
      <c r="F26" s="104"/>
    </row>
    <row r="28" spans="2:14" ht="14" customHeight="1">
      <c r="B28" s="143" t="s">
        <v>122</v>
      </c>
      <c r="C28" s="143"/>
      <c r="D28" s="143"/>
      <c r="E28" s="143"/>
      <c r="F28" s="143"/>
      <c r="G28" s="143"/>
      <c r="H28" s="143"/>
      <c r="I28" s="143"/>
      <c r="J28" s="143"/>
      <c r="K28" s="143"/>
      <c r="L28" s="143"/>
      <c r="M28" s="143"/>
    </row>
    <row r="29" spans="2:14">
      <c r="N29" s="104"/>
    </row>
    <row r="30" spans="2:14" ht="15">
      <c r="B30" s="45" t="s">
        <v>123</v>
      </c>
      <c r="C30" s="45"/>
      <c r="N30" s="104"/>
    </row>
    <row r="31" spans="2:14" ht="15">
      <c r="B31" s="49" t="s">
        <v>110</v>
      </c>
      <c r="C31" s="92">
        <v>0.18870000000000001</v>
      </c>
    </row>
    <row r="32" spans="2:14" ht="15">
      <c r="B32" s="49" t="s">
        <v>124</v>
      </c>
      <c r="C32" s="52">
        <v>2.5</v>
      </c>
      <c r="N32" s="104"/>
    </row>
    <row r="33" spans="2:14">
      <c r="N33" s="104"/>
    </row>
    <row r="34" spans="2:14" ht="30">
      <c r="B34" s="45" t="s">
        <v>49</v>
      </c>
      <c r="C34" s="45" t="s">
        <v>125</v>
      </c>
      <c r="D34" s="45" t="s">
        <v>126</v>
      </c>
      <c r="E34" s="45" t="s">
        <v>127</v>
      </c>
      <c r="F34" s="44" t="s">
        <v>128</v>
      </c>
      <c r="G34" s="45" t="s">
        <v>129</v>
      </c>
    </row>
    <row r="35" spans="2:14" ht="15">
      <c r="B35" s="49" t="s">
        <v>130</v>
      </c>
      <c r="C35" s="93">
        <v>4616</v>
      </c>
      <c r="D35" s="93">
        <v>1957</v>
      </c>
      <c r="E35" s="105">
        <f>C35/D35</f>
        <v>2.3587123147675011</v>
      </c>
      <c r="F35" s="105">
        <f>'Comparables '!M17</f>
        <v>1.49</v>
      </c>
      <c r="G35" s="105">
        <f>F35/(1+(1-C22)*E35)</f>
        <v>0.56203114760417872</v>
      </c>
    </row>
    <row r="36" spans="2:14" ht="15">
      <c r="B36" s="49" t="s">
        <v>131</v>
      </c>
      <c r="C36" s="93">
        <v>1261.5999999999999</v>
      </c>
      <c r="D36" s="93">
        <v>1354.3</v>
      </c>
      <c r="E36" s="105">
        <f>C36/D36</f>
        <v>0.93155135494351327</v>
      </c>
      <c r="F36" s="105">
        <f>'Comparables '!M18</f>
        <v>1.1100000000000001</v>
      </c>
      <c r="G36" s="105">
        <f>F36/(1+(1-C22)*E36)</f>
        <v>0.67187787719784409</v>
      </c>
    </row>
    <row r="38" spans="2:14" ht="15">
      <c r="B38" s="45" t="s">
        <v>132</v>
      </c>
      <c r="C38" s="45" t="s">
        <v>72</v>
      </c>
      <c r="D38" s="146" t="s">
        <v>33</v>
      </c>
      <c r="E38" s="146"/>
      <c r="F38" s="146"/>
    </row>
    <row r="39" spans="2:14" ht="15">
      <c r="B39" s="49" t="s">
        <v>133</v>
      </c>
      <c r="C39" s="105">
        <f>AVERAGE(G35:G36)</f>
        <v>0.6169545124010114</v>
      </c>
      <c r="D39" s="150"/>
      <c r="E39" s="150"/>
      <c r="F39" s="150"/>
    </row>
    <row r="40" spans="2:14" ht="15">
      <c r="B40" s="49" t="s">
        <v>134</v>
      </c>
      <c r="C40" s="105">
        <f>C39*(1+(1-C22)*(C20/C21))</f>
        <v>1.3882602997497466</v>
      </c>
      <c r="D40" s="150"/>
      <c r="E40" s="150"/>
      <c r="F40" s="150"/>
    </row>
    <row r="41" spans="2:14" ht="16" customHeight="1">
      <c r="B41" s="49" t="s">
        <v>135</v>
      </c>
      <c r="C41" s="92">
        <v>1.6E-2</v>
      </c>
      <c r="D41" s="153" t="s">
        <v>136</v>
      </c>
      <c r="E41" s="153"/>
      <c r="F41" s="153"/>
    </row>
    <row r="42" spans="2:14" ht="16" customHeight="1">
      <c r="B42" s="49" t="s">
        <v>137</v>
      </c>
      <c r="C42" s="92">
        <v>5.2999999999999999E-2</v>
      </c>
      <c r="D42" s="153"/>
      <c r="E42" s="153"/>
      <c r="F42" s="153"/>
    </row>
    <row r="43" spans="2:14" ht="15">
      <c r="B43" s="49" t="s">
        <v>2</v>
      </c>
      <c r="C43" s="51">
        <f>C41+C40*C42</f>
        <v>8.9577795886736575E-2</v>
      </c>
      <c r="D43" s="150"/>
      <c r="E43" s="150"/>
      <c r="F43" s="150"/>
    </row>
    <row r="44" spans="2:14">
      <c r="H44" s="85"/>
    </row>
    <row r="45" spans="2:14">
      <c r="B45" s="143" t="s">
        <v>138</v>
      </c>
      <c r="C45" s="143"/>
      <c r="D45" s="143"/>
      <c r="E45" s="143"/>
      <c r="F45" s="143"/>
      <c r="G45" s="143"/>
      <c r="H45" s="143"/>
      <c r="I45" s="143"/>
      <c r="J45" s="143"/>
      <c r="K45" s="143"/>
      <c r="L45" s="143"/>
      <c r="M45" s="106"/>
    </row>
    <row r="46" spans="2:14">
      <c r="B46" s="144"/>
      <c r="C46" s="144"/>
      <c r="D46" s="144"/>
      <c r="E46" s="144"/>
      <c r="F46" s="144"/>
      <c r="G46" s="144"/>
      <c r="H46" s="144"/>
      <c r="I46" s="144"/>
      <c r="J46" s="144"/>
      <c r="K46" s="144"/>
      <c r="L46" s="144"/>
    </row>
    <row r="48" spans="2:14">
      <c r="C48" s="107">
        <v>2026</v>
      </c>
      <c r="D48" s="107">
        <v>2027</v>
      </c>
      <c r="E48" s="107">
        <v>2028</v>
      </c>
      <c r="F48" s="107">
        <v>2029</v>
      </c>
      <c r="G48" s="107">
        <v>2030</v>
      </c>
      <c r="H48" s="107">
        <v>2031</v>
      </c>
    </row>
    <row r="49" spans="2:8">
      <c r="B49" s="83" t="s">
        <v>139</v>
      </c>
      <c r="C49" s="108">
        <f>C4*(1+$C$5)^1</f>
        <v>354.78000000000003</v>
      </c>
      <c r="D49" s="108">
        <f>C49*(1+$C$5)^1</f>
        <v>466.18092000000007</v>
      </c>
      <c r="E49" s="108">
        <f t="shared" ref="E49:G49" si="0">D49*(1+$C$5)^1</f>
        <v>612.56172888000015</v>
      </c>
      <c r="F49" s="108">
        <f t="shared" si="0"/>
        <v>804.9061117483202</v>
      </c>
      <c r="G49" s="108">
        <f t="shared" si="0"/>
        <v>1057.6466308372928</v>
      </c>
      <c r="H49" s="108">
        <f>G49*(1+$C$5)^1</f>
        <v>1389.7476729202028</v>
      </c>
    </row>
    <row r="50" spans="2:8">
      <c r="B50" s="83" t="s">
        <v>140</v>
      </c>
      <c r="C50" s="104">
        <f>C8*(1+$C$11)^1</f>
        <v>0.31071820489386637</v>
      </c>
      <c r="D50" s="104">
        <f>C50*(1+$C$11)^1</f>
        <v>0.31539372142374922</v>
      </c>
      <c r="E50" s="104">
        <f>D50*(1+$C$11)^1</f>
        <v>0.32013959255299862</v>
      </c>
      <c r="F50" s="104">
        <f>E50*(1+$C$11)^1</f>
        <v>0.32495687693890313</v>
      </c>
      <c r="G50" s="104">
        <f>F50*(1+$C$11)^1</f>
        <v>0.32984664916884349</v>
      </c>
      <c r="H50" s="104">
        <f>G50*(1+$C$11)^1</f>
        <v>0.33480999999999989</v>
      </c>
    </row>
    <row r="51" spans="2:8">
      <c r="B51" s="83" t="s">
        <v>141</v>
      </c>
      <c r="C51" s="80">
        <f>C50*C49</f>
        <v>110.23660473224592</v>
      </c>
      <c r="D51" s="80">
        <f t="shared" ref="D51:H51" si="1">D50*D49</f>
        <v>147.03053521554713</v>
      </c>
      <c r="E51" s="80">
        <f t="shared" si="1"/>
        <v>196.10526229720367</v>
      </c>
      <c r="F51" s="80">
        <f t="shared" si="1"/>
        <v>261.55977630276988</v>
      </c>
      <c r="G51" s="80">
        <f t="shared" si="1"/>
        <v>348.86119718639787</v>
      </c>
      <c r="H51" s="80">
        <f t="shared" si="1"/>
        <v>465.30141837041293</v>
      </c>
    </row>
    <row r="52" spans="2:8">
      <c r="B52" s="83" t="s">
        <v>121</v>
      </c>
      <c r="C52" s="104">
        <f t="shared" ref="C52:H52" si="2">$F$25</f>
        <v>1.6466666666666668E-2</v>
      </c>
      <c r="D52" s="104">
        <f t="shared" si="2"/>
        <v>1.6466666666666668E-2</v>
      </c>
      <c r="E52" s="104">
        <f t="shared" si="2"/>
        <v>1.6466666666666668E-2</v>
      </c>
      <c r="F52" s="104">
        <f t="shared" si="2"/>
        <v>1.6466666666666668E-2</v>
      </c>
      <c r="G52" s="104">
        <f t="shared" si="2"/>
        <v>1.6466666666666668E-2</v>
      </c>
      <c r="H52" s="104">
        <f t="shared" si="2"/>
        <v>1.6466666666666668E-2</v>
      </c>
    </row>
    <row r="53" spans="2:8">
      <c r="B53" s="83" t="s">
        <v>73</v>
      </c>
      <c r="C53" s="80">
        <f>C51*C52</f>
        <v>1.815229424590983</v>
      </c>
      <c r="D53" s="80">
        <f t="shared" ref="D53:G53" si="3">D51*D52</f>
        <v>2.4211028132160095</v>
      </c>
      <c r="E53" s="80">
        <f t="shared" si="3"/>
        <v>3.2291999858272873</v>
      </c>
      <c r="F53" s="80">
        <f t="shared" si="3"/>
        <v>4.3070176497856112</v>
      </c>
      <c r="G53" s="80">
        <f t="shared" si="3"/>
        <v>5.7445810470026855</v>
      </c>
      <c r="H53" s="80">
        <f>H51*H52</f>
        <v>7.6619633558327997</v>
      </c>
    </row>
    <row r="54" spans="2:8">
      <c r="B54" s="83" t="s">
        <v>110</v>
      </c>
      <c r="C54" s="104">
        <f>C17*(1+$C$18)^1</f>
        <v>0.12823431290962262</v>
      </c>
      <c r="D54" s="104">
        <f>C54*(1+$C$18)^1</f>
        <v>0.13853444825107841</v>
      </c>
      <c r="E54" s="104">
        <f t="shared" ref="E54:H54" si="4">D54*(1+$C$18)^1</f>
        <v>0.14966191900413406</v>
      </c>
      <c r="F54" s="104">
        <f t="shared" si="4"/>
        <v>0.16168317904153939</v>
      </c>
      <c r="G54" s="104">
        <f t="shared" si="4"/>
        <v>0.17467001999524265</v>
      </c>
      <c r="H54" s="104">
        <f t="shared" si="4"/>
        <v>0.1886999999999999</v>
      </c>
    </row>
    <row r="55" spans="2:8">
      <c r="B55" s="83" t="s">
        <v>142</v>
      </c>
      <c r="C55" s="80">
        <f>C53*C54</f>
        <v>0.23277469803575432</v>
      </c>
      <c r="D55" s="80">
        <f t="shared" ref="D55:H55" si="5">D53*D54</f>
        <v>0.33540614238801364</v>
      </c>
      <c r="E55" s="80">
        <f t="shared" si="5"/>
        <v>0.48328826672703434</v>
      </c>
      <c r="F55" s="80">
        <f t="shared" si="5"/>
        <v>0.69637230580535714</v>
      </c>
      <c r="G55" s="80">
        <f t="shared" si="5"/>
        <v>1.0034060863442511</v>
      </c>
      <c r="H55" s="80">
        <f t="shared" si="5"/>
        <v>1.4458124852456484</v>
      </c>
    </row>
    <row r="57" spans="2:8">
      <c r="B57" s="83" t="s">
        <v>143</v>
      </c>
      <c r="C57" s="80">
        <f>$C$22*C55</f>
        <v>6.9832409410726298E-2</v>
      </c>
      <c r="D57" s="80">
        <f t="shared" ref="D57:H57" si="6">$C$22*D55</f>
        <v>0.10062184271640409</v>
      </c>
      <c r="E57" s="80">
        <f t="shared" si="6"/>
        <v>0.14498648001811029</v>
      </c>
      <c r="F57" s="80">
        <f t="shared" si="6"/>
        <v>0.20891169174160715</v>
      </c>
      <c r="G57" s="80">
        <f t="shared" si="6"/>
        <v>0.30102182590327531</v>
      </c>
      <c r="H57" s="80">
        <f t="shared" si="6"/>
        <v>0.43374374557369449</v>
      </c>
    </row>
    <row r="58" spans="2:8">
      <c r="B58" s="83" t="s">
        <v>144</v>
      </c>
      <c r="C58" s="80">
        <f>C55-C57</f>
        <v>0.16294228862502802</v>
      </c>
      <c r="D58" s="80">
        <f t="shared" ref="D58:H58" si="7">D55-D57</f>
        <v>0.23478429967160955</v>
      </c>
      <c r="E58" s="80">
        <f t="shared" si="7"/>
        <v>0.33830178670892408</v>
      </c>
      <c r="F58" s="80">
        <f t="shared" si="7"/>
        <v>0.48746061406374996</v>
      </c>
      <c r="G58" s="80">
        <f t="shared" si="7"/>
        <v>0.70238426044097579</v>
      </c>
      <c r="H58" s="80">
        <f t="shared" si="7"/>
        <v>1.0120687396719539</v>
      </c>
    </row>
    <row r="60" spans="2:8">
      <c r="B60" s="83" t="s">
        <v>145</v>
      </c>
      <c r="C60" s="80">
        <f>C53-C19</f>
        <v>0.26321564444691803</v>
      </c>
      <c r="D60" s="80">
        <f>D53-C53</f>
        <v>0.60587338862502649</v>
      </c>
      <c r="E60" s="80">
        <f t="shared" ref="E60:G60" si="8">E53-D53</f>
        <v>0.80809717261127778</v>
      </c>
      <c r="F60" s="80">
        <f t="shared" si="8"/>
        <v>1.0778176639583239</v>
      </c>
      <c r="G60" s="80">
        <f t="shared" si="8"/>
        <v>1.4375633972170743</v>
      </c>
      <c r="H60" s="80">
        <f>H53-G53</f>
        <v>1.9173823088301143</v>
      </c>
    </row>
    <row r="61" spans="2:8">
      <c r="B61" s="83" t="s">
        <v>146</v>
      </c>
      <c r="C61" s="80">
        <f t="shared" ref="C61:H61" si="9">$C$32</f>
        <v>2.5</v>
      </c>
      <c r="D61" s="80">
        <f t="shared" si="9"/>
        <v>2.5</v>
      </c>
      <c r="E61" s="80">
        <f t="shared" si="9"/>
        <v>2.5</v>
      </c>
      <c r="F61" s="80">
        <f t="shared" si="9"/>
        <v>2.5</v>
      </c>
      <c r="G61" s="80">
        <f t="shared" si="9"/>
        <v>2.5</v>
      </c>
      <c r="H61" s="80">
        <f t="shared" si="9"/>
        <v>2.5</v>
      </c>
    </row>
    <row r="62" spans="2:8">
      <c r="B62" s="83" t="s">
        <v>147</v>
      </c>
      <c r="C62" s="80">
        <f>C60/C61</f>
        <v>0.10528625777876721</v>
      </c>
      <c r="D62" s="80">
        <f>D60/D61</f>
        <v>0.2423493554500106</v>
      </c>
      <c r="E62" s="80">
        <f t="shared" ref="E62:H62" si="10">E60/E61</f>
        <v>0.3232388690445111</v>
      </c>
      <c r="F62" s="80">
        <f t="shared" si="10"/>
        <v>0.43112706558332958</v>
      </c>
      <c r="G62" s="80">
        <f t="shared" si="10"/>
        <v>0.57502535888682971</v>
      </c>
      <c r="H62" s="80">
        <f t="shared" si="10"/>
        <v>0.76695292353204569</v>
      </c>
    </row>
    <row r="64" spans="2:8">
      <c r="B64" s="83" t="s">
        <v>148</v>
      </c>
      <c r="C64" s="80">
        <f>C58-C62</f>
        <v>5.7656030846260808E-2</v>
      </c>
      <c r="D64" s="80">
        <f t="shared" ref="D64:H64" si="11">D58-D62</f>
        <v>-7.565055778401053E-3</v>
      </c>
      <c r="E64" s="80">
        <f t="shared" si="11"/>
        <v>1.5062917664412978E-2</v>
      </c>
      <c r="F64" s="80">
        <f t="shared" si="11"/>
        <v>5.6333548480420381E-2</v>
      </c>
      <c r="G64" s="80">
        <f t="shared" si="11"/>
        <v>0.12735890155414609</v>
      </c>
      <c r="H64" s="80">
        <f t="shared" si="11"/>
        <v>0.24511581613990818</v>
      </c>
    </row>
    <row r="65" spans="2:13">
      <c r="B65" s="83" t="s">
        <v>149</v>
      </c>
      <c r="C65" s="80">
        <f>(1+$C$43)^1</f>
        <v>1.0895777958867365</v>
      </c>
      <c r="D65" s="80">
        <f>(1+$C$43)^2</f>
        <v>1.1871797732893989</v>
      </c>
      <c r="E65" s="80">
        <f>(1+$C$43)^3</f>
        <v>1.2935247207019789</v>
      </c>
      <c r="F65" s="80">
        <f>(1+$C$43)^4</f>
        <v>1.4093958141074687</v>
      </c>
      <c r="G65" s="80">
        <f>(1+$C$43)^5</f>
        <v>1.5356463846672084</v>
      </c>
      <c r="H65" s="80">
        <f>(1+$C$43)^6</f>
        <v>1.6732062030671326</v>
      </c>
    </row>
    <row r="66" spans="2:13">
      <c r="B66" s="83" t="s">
        <v>150</v>
      </c>
      <c r="C66" s="80">
        <f>C64/C65</f>
        <v>5.291593777325309E-2</v>
      </c>
      <c r="D66" s="80">
        <f t="shared" ref="D66:H66" si="12">D64/D65</f>
        <v>-6.3722916685482632E-3</v>
      </c>
      <c r="E66" s="80">
        <f t="shared" si="12"/>
        <v>1.1644862617112204E-2</v>
      </c>
      <c r="F66" s="80">
        <f t="shared" si="12"/>
        <v>3.9969998432338789E-2</v>
      </c>
      <c r="G66" s="80">
        <f t="shared" si="12"/>
        <v>8.2935044698943611E-2</v>
      </c>
      <c r="H66" s="80">
        <f t="shared" si="12"/>
        <v>0.1464946852877963</v>
      </c>
    </row>
    <row r="67" spans="2:13">
      <c r="B67" s="83" t="s">
        <v>151</v>
      </c>
      <c r="C67" s="80"/>
      <c r="D67" s="80"/>
      <c r="E67" s="80"/>
      <c r="F67" s="80"/>
      <c r="G67" s="80"/>
      <c r="H67" s="80">
        <f>SUM(C66:H66)</f>
        <v>0.32758823714089574</v>
      </c>
    </row>
    <row r="69" spans="2:13" ht="14" customHeight="1">
      <c r="B69" s="143" t="s">
        <v>152</v>
      </c>
      <c r="C69" s="143"/>
      <c r="D69" s="143"/>
      <c r="E69" s="143"/>
      <c r="F69" s="143"/>
      <c r="G69" s="143"/>
      <c r="H69" s="143"/>
      <c r="I69" s="143"/>
      <c r="J69" s="143"/>
      <c r="K69" s="143"/>
      <c r="L69" s="143"/>
      <c r="M69" s="143"/>
    </row>
    <row r="70" spans="2:13" ht="15">
      <c r="B70" s="45" t="s">
        <v>71</v>
      </c>
      <c r="C70" s="45" t="s">
        <v>72</v>
      </c>
      <c r="D70" s="146" t="s">
        <v>38</v>
      </c>
      <c r="E70" s="146"/>
      <c r="F70" s="146"/>
    </row>
    <row r="71" spans="2:13" ht="24" customHeight="1">
      <c r="B71" s="83" t="s">
        <v>153</v>
      </c>
      <c r="C71" s="51">
        <f>C43</f>
        <v>8.9577795886736575E-2</v>
      </c>
      <c r="D71" s="150"/>
      <c r="E71" s="150"/>
      <c r="F71" s="150"/>
    </row>
    <row r="72" spans="2:13" ht="28" customHeight="1">
      <c r="B72" s="83" t="s">
        <v>154</v>
      </c>
      <c r="C72" s="92">
        <v>0.03</v>
      </c>
      <c r="D72" s="150" t="s">
        <v>155</v>
      </c>
      <c r="E72" s="150"/>
      <c r="F72" s="150"/>
    </row>
    <row r="73" spans="2:13" ht="16" customHeight="1">
      <c r="B73" s="83" t="s">
        <v>156</v>
      </c>
      <c r="C73" s="109">
        <f>(H64*(1+C72))/(C71-C72)</f>
        <v>4.2376406657284731</v>
      </c>
      <c r="D73" s="150"/>
      <c r="E73" s="150"/>
      <c r="F73" s="150"/>
    </row>
    <row r="74" spans="2:13" ht="16" customHeight="1">
      <c r="B74" s="83" t="s">
        <v>157</v>
      </c>
      <c r="C74" s="109">
        <f>C73/((1+C71)^6)</f>
        <v>2.5326469971008407</v>
      </c>
      <c r="D74" s="150"/>
      <c r="E74" s="150"/>
      <c r="F74" s="150"/>
    </row>
    <row r="75" spans="2:13" ht="16" customHeight="1">
      <c r="B75" s="83" t="s">
        <v>51</v>
      </c>
      <c r="C75" s="109">
        <f>C74+H67</f>
        <v>2.8602352342417365</v>
      </c>
      <c r="D75" s="150"/>
      <c r="E75" s="150"/>
      <c r="F75" s="150"/>
    </row>
    <row r="76" spans="2:13" ht="16" customHeight="1">
      <c r="B76" s="83" t="s">
        <v>158</v>
      </c>
      <c r="C76" s="109">
        <f>C75-('Comparables '!C37/1000)</f>
        <v>2.471390887232654</v>
      </c>
      <c r="D76" s="152"/>
      <c r="E76" s="152"/>
      <c r="F76" s="152"/>
    </row>
    <row r="77" spans="2:13" ht="16" customHeight="1">
      <c r="B77" s="83" t="s">
        <v>159</v>
      </c>
      <c r="C77" s="109">
        <f>C76*(1-'Comparables '!C10)</f>
        <v>1.9771127097861232</v>
      </c>
      <c r="D77" s="150"/>
      <c r="E77" s="150"/>
      <c r="F77" s="150"/>
    </row>
    <row r="78" spans="2:13" ht="16" customHeight="1">
      <c r="D78" s="151"/>
      <c r="E78" s="151"/>
      <c r="F78" s="151"/>
    </row>
    <row r="80" spans="2:13" ht="14" customHeight="1">
      <c r="B80" s="143" t="s">
        <v>160</v>
      </c>
      <c r="C80" s="143"/>
      <c r="D80" s="143"/>
      <c r="E80" s="143"/>
      <c r="F80" s="143"/>
      <c r="G80" s="143"/>
      <c r="H80" s="143"/>
      <c r="I80" s="143"/>
      <c r="J80" s="143"/>
      <c r="K80" s="143"/>
      <c r="L80" s="143"/>
      <c r="M80" s="143"/>
    </row>
    <row r="81" spans="2:8">
      <c r="B81" s="110" t="s">
        <v>71</v>
      </c>
      <c r="C81" s="110">
        <v>2026</v>
      </c>
      <c r="D81" s="110">
        <v>2027</v>
      </c>
      <c r="E81" s="110">
        <v>2028</v>
      </c>
      <c r="F81" s="110">
        <v>2029</v>
      </c>
      <c r="G81" s="110">
        <v>2030</v>
      </c>
      <c r="H81" s="110">
        <v>2031</v>
      </c>
    </row>
    <row r="82" spans="2:8">
      <c r="B82" s="83" t="s">
        <v>148</v>
      </c>
      <c r="C82" s="80" cm="1">
        <f t="array" ref="C82:H82">C64:H64</f>
        <v>5.7656030846260808E-2</v>
      </c>
      <c r="D82" s="80">
        <v>-7.565055778401053E-3</v>
      </c>
      <c r="E82" s="80">
        <v>1.5062917664412978E-2</v>
      </c>
      <c r="F82" s="80">
        <v>5.6333548480420381E-2</v>
      </c>
      <c r="G82" s="80">
        <v>0.12735890155414609</v>
      </c>
      <c r="H82" s="80">
        <v>0.24511581613990818</v>
      </c>
    </row>
    <row r="83" spans="2:8">
      <c r="B83" s="83" t="s">
        <v>161</v>
      </c>
      <c r="C83" s="80">
        <f>(1+$E$89)^1</f>
        <v>1.1100000000000001</v>
      </c>
      <c r="D83" s="80">
        <f>(1+$E$89)^2</f>
        <v>1.2321000000000002</v>
      </c>
      <c r="E83" s="80">
        <f>(1+$E$89)^3</f>
        <v>1.3676310000000003</v>
      </c>
      <c r="F83" s="80">
        <f>(1+$E$89)^4</f>
        <v>1.5180704100000004</v>
      </c>
      <c r="G83" s="80">
        <f>(1+$E$89)^5</f>
        <v>1.6850581551000006</v>
      </c>
      <c r="H83" s="80">
        <f>(1+$E$89)^6</f>
        <v>1.8704145521610007</v>
      </c>
    </row>
    <row r="84" spans="2:8">
      <c r="B84" s="83" t="s">
        <v>162</v>
      </c>
      <c r="C84" s="80">
        <f>C82/C83</f>
        <v>5.1942370131766488E-2</v>
      </c>
      <c r="D84" s="80">
        <f t="shared" ref="D84:H84" si="13">D82/D83</f>
        <v>-6.1399689784928596E-3</v>
      </c>
      <c r="E84" s="80">
        <f t="shared" si="13"/>
        <v>1.1013875573464608E-2</v>
      </c>
      <c r="F84" s="80">
        <f t="shared" si="13"/>
        <v>3.710865326755191E-2</v>
      </c>
      <c r="G84" s="80">
        <f t="shared" si="13"/>
        <v>7.5581309267387223E-2</v>
      </c>
      <c r="H84" s="80">
        <f t="shared" si="13"/>
        <v>0.13104892487962702</v>
      </c>
    </row>
    <row r="85" spans="2:8">
      <c r="B85" s="83" t="s">
        <v>163</v>
      </c>
      <c r="C85" s="80">
        <f>(1+C89)^1</f>
        <v>1.07</v>
      </c>
      <c r="D85" s="80">
        <f>(1+C89)^2</f>
        <v>1.1449</v>
      </c>
      <c r="E85" s="80">
        <f>(1+C89)^3</f>
        <v>1.2250430000000001</v>
      </c>
      <c r="F85" s="80">
        <f>(1+C89)^4</f>
        <v>1.31079601</v>
      </c>
      <c r="G85" s="80">
        <f>(1+C89)^5</f>
        <v>1.4025517307000002</v>
      </c>
      <c r="H85" s="80">
        <f>(1+C89)^6</f>
        <v>1.5007303518490001</v>
      </c>
    </row>
    <row r="86" spans="2:8">
      <c r="B86" s="83" t="s">
        <v>162</v>
      </c>
      <c r="C86" s="80">
        <f t="shared" ref="C86:H86" si="14">C82/C85</f>
        <v>5.3884140977813834E-2</v>
      </c>
      <c r="D86" s="80">
        <f t="shared" si="14"/>
        <v>-6.6076126984025265E-3</v>
      </c>
      <c r="E86" s="80">
        <f t="shared" si="14"/>
        <v>1.2295827709242023E-2</v>
      </c>
      <c r="F86" s="80">
        <f t="shared" si="14"/>
        <v>4.2976594413359846E-2</v>
      </c>
      <c r="G86" s="80">
        <f t="shared" si="14"/>
        <v>9.0805136642327255E-2</v>
      </c>
      <c r="H86" s="80">
        <f t="shared" si="14"/>
        <v>0.16333101801926583</v>
      </c>
    </row>
    <row r="89" spans="2:8" ht="27" customHeight="1">
      <c r="B89" s="46" t="s">
        <v>164</v>
      </c>
      <c r="C89" s="114">
        <v>7.0000000000000007E-2</v>
      </c>
      <c r="D89" s="96">
        <v>8.9599999999999999E-2</v>
      </c>
      <c r="E89" s="115">
        <v>0.11</v>
      </c>
      <c r="F89" s="104"/>
    </row>
    <row r="90" spans="2:8">
      <c r="B90" s="114">
        <f>B91-1%</f>
        <v>1.9999999999999997E-2</v>
      </c>
      <c r="C90" s="111">
        <f>(($H$64*(1+B90))/($C$89-B90))/((1+$C$89)^6)+SUM($C$86:$H$86)-('Comparables '!C37/1000)</f>
        <v>3.299793525647547</v>
      </c>
      <c r="D90" s="111">
        <f>(($H$64*(1+B90))/(D89-B90))/((1+D89)^6)+$H$67-('Comparables '!C37/1000)</f>
        <v>2.085386273446904</v>
      </c>
      <c r="E90" s="111">
        <f>(($H$64*(1+B90))/($E$89-B90))/((1+$E$89)^6)+SUM($C$84:$H$84)-('Comparables '!C37/1000)</f>
        <v>1.3969319657679951</v>
      </c>
    </row>
    <row r="91" spans="2:8">
      <c r="B91" s="112">
        <f>'DCF Valuation'!C72</f>
        <v>0.03</v>
      </c>
      <c r="C91" s="111">
        <f>(($H$64*(1+B91))/($C$89-B91))/((1+$C$89)^6)+SUM($C$86:$H$86)-('Comparables '!C37/1000)</f>
        <v>4.1736144720506188</v>
      </c>
      <c r="D91" s="116">
        <f>C76</f>
        <v>2.471390887232654</v>
      </c>
      <c r="E91" s="111">
        <f>(($H$64*(1+B91))/($E$89-B91))/((1+$E$89)^6)+SUM($C$84:$H$84)-('Comparables '!C37/1000)</f>
        <v>1.5989657249574198</v>
      </c>
    </row>
    <row r="92" spans="2:8">
      <c r="B92" s="114">
        <f>B91+1%</f>
        <v>0.04</v>
      </c>
      <c r="C92" s="111">
        <f>(($H$64*(1+B92))/($C$89-B92))/((1+$C$89)^6)+SUM($C$86:$H$86)-('Comparables '!C37/1000)</f>
        <v>5.6299827160557383</v>
      </c>
      <c r="D92" s="111">
        <f>(($H$64*(1+B92))/($D$89-B92))/((1+$D$89)^6)+$H$67-('Comparables '!C37/1000)</f>
        <v>3.0100310951025504</v>
      </c>
      <c r="E92" s="111">
        <f>(($H$64*(1+B92))/($E$89-B92))/((1+$E$89)^6)+SUM($C$84:$H$84)-('Comparables '!C37/1000)</f>
        <v>1.858723415343823</v>
      </c>
    </row>
    <row r="96" spans="2:8">
      <c r="E96" s="113"/>
    </row>
    <row r="97" spans="4:7">
      <c r="D97" s="113"/>
      <c r="E97" s="113"/>
    </row>
    <row r="98" spans="4:7">
      <c r="D98" s="113"/>
      <c r="E98" s="113"/>
    </row>
    <row r="99" spans="4:7">
      <c r="E99" s="108"/>
    </row>
    <row r="100" spans="4:7">
      <c r="E100" s="113"/>
      <c r="G100" s="113"/>
    </row>
    <row r="101" spans="4:7">
      <c r="E101" s="113"/>
    </row>
    <row r="102" spans="4:7">
      <c r="E102" s="113"/>
    </row>
  </sheetData>
  <mergeCells count="52">
    <mergeCell ref="D22:F22"/>
    <mergeCell ref="G15:H15"/>
    <mergeCell ref="F7:G7"/>
    <mergeCell ref="F8:G8"/>
    <mergeCell ref="G14:H14"/>
    <mergeCell ref="D7:E7"/>
    <mergeCell ref="D8:E8"/>
    <mergeCell ref="D14:F14"/>
    <mergeCell ref="G22:H22"/>
    <mergeCell ref="D10:E10"/>
    <mergeCell ref="F10:G10"/>
    <mergeCell ref="D9:E9"/>
    <mergeCell ref="D11:E11"/>
    <mergeCell ref="F11:G11"/>
    <mergeCell ref="F4:G6"/>
    <mergeCell ref="A1:M1"/>
    <mergeCell ref="D3:E3"/>
    <mergeCell ref="D4:E4"/>
    <mergeCell ref="D5:E5"/>
    <mergeCell ref="D6:E6"/>
    <mergeCell ref="F3:G3"/>
    <mergeCell ref="F9:G9"/>
    <mergeCell ref="G19:H21"/>
    <mergeCell ref="G16:H16"/>
    <mergeCell ref="G17:H17"/>
    <mergeCell ref="G18:H18"/>
    <mergeCell ref="D15:F15"/>
    <mergeCell ref="D16:F16"/>
    <mergeCell ref="D17:F17"/>
    <mergeCell ref="D18:F18"/>
    <mergeCell ref="D19:F19"/>
    <mergeCell ref="D20:F20"/>
    <mergeCell ref="D21:F21"/>
    <mergeCell ref="D43:F43"/>
    <mergeCell ref="D70:F70"/>
    <mergeCell ref="D41:F42"/>
    <mergeCell ref="B28:M28"/>
    <mergeCell ref="D38:F38"/>
    <mergeCell ref="D39:F39"/>
    <mergeCell ref="D40:F40"/>
    <mergeCell ref="B45:L45"/>
    <mergeCell ref="B46:L46"/>
    <mergeCell ref="D77:F77"/>
    <mergeCell ref="D71:F71"/>
    <mergeCell ref="D78:F78"/>
    <mergeCell ref="B69:M69"/>
    <mergeCell ref="B80:M80"/>
    <mergeCell ref="D72:F72"/>
    <mergeCell ref="D73:F73"/>
    <mergeCell ref="D74:F74"/>
    <mergeCell ref="D75:F75"/>
    <mergeCell ref="D76:F76"/>
  </mergeCell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B0B5D-7CA5-4ED3-8EF6-C40316A00256}">
  <dimension ref="B1:N39"/>
  <sheetViews>
    <sheetView workbookViewId="0">
      <selection activeCell="A7" sqref="A7"/>
    </sheetView>
  </sheetViews>
  <sheetFormatPr baseColWidth="10" defaultColWidth="11" defaultRowHeight="16"/>
  <cols>
    <col min="2" max="2" width="21.5" bestFit="1" customWidth="1"/>
    <col min="3" max="3" width="11.83203125" bestFit="1" customWidth="1"/>
    <col min="5" max="5" width="15" bestFit="1" customWidth="1"/>
    <col min="13" max="13" width="15.33203125" bestFit="1" customWidth="1"/>
  </cols>
  <sheetData>
    <row r="1" spans="2:13">
      <c r="B1" t="s">
        <v>165</v>
      </c>
    </row>
    <row r="3" spans="2:13">
      <c r="B3" s="10" t="s">
        <v>1</v>
      </c>
    </row>
    <row r="4" spans="2:13">
      <c r="B4" s="2" t="s">
        <v>166</v>
      </c>
      <c r="C4" s="15">
        <v>0.25</v>
      </c>
    </row>
    <row r="5" spans="2:13">
      <c r="B5" s="2" t="s">
        <v>167</v>
      </c>
      <c r="C5" s="15">
        <v>0.1</v>
      </c>
    </row>
    <row r="6" spans="2:13">
      <c r="B6" s="3" t="s">
        <v>168</v>
      </c>
      <c r="C6" s="15">
        <v>0.03</v>
      </c>
    </row>
    <row r="7" spans="2:13">
      <c r="B7" s="3" t="s">
        <v>169</v>
      </c>
      <c r="C7" s="14" t="s">
        <v>170</v>
      </c>
    </row>
    <row r="8" spans="2:13">
      <c r="B8" t="s">
        <v>171</v>
      </c>
      <c r="C8" s="12">
        <v>44196</v>
      </c>
    </row>
    <row r="9" spans="2:13">
      <c r="B9" t="s">
        <v>172</v>
      </c>
      <c r="C9" s="12">
        <v>44377</v>
      </c>
    </row>
    <row r="10" spans="2:13">
      <c r="B10" s="3" t="s">
        <v>173</v>
      </c>
      <c r="C10" s="13">
        <v>25</v>
      </c>
    </row>
    <row r="11" spans="2:13">
      <c r="B11" s="3" t="s">
        <v>174</v>
      </c>
      <c r="C11" s="13">
        <v>20000</v>
      </c>
    </row>
    <row r="12" spans="2:13">
      <c r="B12" s="3" t="s">
        <v>175</v>
      </c>
      <c r="C12" s="13">
        <v>30000</v>
      </c>
    </row>
    <row r="13" spans="2:13">
      <c r="B13" s="3" t="s">
        <v>176</v>
      </c>
      <c r="C13" s="13">
        <v>200000</v>
      </c>
    </row>
    <row r="14" spans="2:13">
      <c r="B14" s="3" t="s">
        <v>177</v>
      </c>
      <c r="C14" s="13">
        <v>15000</v>
      </c>
    </row>
    <row r="16" spans="2:13">
      <c r="B16" s="10" t="s">
        <v>165</v>
      </c>
      <c r="C16" s="10" t="s">
        <v>178</v>
      </c>
      <c r="D16" s="10">
        <v>2021</v>
      </c>
      <c r="E16" s="10">
        <v>2022</v>
      </c>
      <c r="F16" s="10">
        <v>2023</v>
      </c>
      <c r="G16" s="10">
        <v>2024</v>
      </c>
      <c r="H16" s="10">
        <v>2025</v>
      </c>
      <c r="I16" s="10">
        <v>2026</v>
      </c>
      <c r="J16" s="10" t="s">
        <v>179</v>
      </c>
      <c r="M16" t="s">
        <v>180</v>
      </c>
    </row>
    <row r="17" spans="2:14">
      <c r="B17" t="s">
        <v>181</v>
      </c>
      <c r="C17" s="4">
        <f>C8</f>
        <v>44196</v>
      </c>
      <c r="D17" s="4">
        <f>C9</f>
        <v>44377</v>
      </c>
      <c r="E17" s="4">
        <v>44742</v>
      </c>
      <c r="F17" s="4">
        <v>45107</v>
      </c>
      <c r="G17" s="4">
        <v>45473</v>
      </c>
      <c r="H17" s="4">
        <v>45838</v>
      </c>
      <c r="I17" s="4">
        <v>46203</v>
      </c>
      <c r="J17" s="4">
        <v>46203</v>
      </c>
      <c r="M17" t="s">
        <v>182</v>
      </c>
      <c r="N17">
        <f>(I25*(1+C6))/(C5-C6)</f>
        <v>-220714.28571428568</v>
      </c>
    </row>
    <row r="18" spans="2:14">
      <c r="B18" t="s">
        <v>183</v>
      </c>
      <c r="D18">
        <v>0</v>
      </c>
      <c r="E18">
        <f>D18+1</f>
        <v>1</v>
      </c>
      <c r="F18">
        <f>E18+1</f>
        <v>2</v>
      </c>
      <c r="G18">
        <f>F18+1</f>
        <v>3</v>
      </c>
      <c r="H18">
        <f>G18+1</f>
        <v>4</v>
      </c>
      <c r="I18">
        <f>H18+1</f>
        <v>5</v>
      </c>
      <c r="M18" t="s">
        <v>58</v>
      </c>
      <c r="N18" t="e">
        <f>C7*(I20+I22)</f>
        <v>#VALUE!</v>
      </c>
    </row>
    <row r="19" spans="2:14">
      <c r="B19" t="s">
        <v>184</v>
      </c>
      <c r="D19">
        <f t="shared" ref="D19:I19" si="0">YEARFRAC(C17,D17)</f>
        <v>0.5</v>
      </c>
      <c r="E19">
        <f t="shared" si="0"/>
        <v>1</v>
      </c>
      <c r="F19">
        <f t="shared" si="0"/>
        <v>1</v>
      </c>
      <c r="G19">
        <f t="shared" si="0"/>
        <v>1</v>
      </c>
      <c r="H19">
        <f t="shared" si="0"/>
        <v>1</v>
      </c>
      <c r="I19">
        <f t="shared" si="0"/>
        <v>1</v>
      </c>
      <c r="M19" s="11" t="s">
        <v>79</v>
      </c>
      <c r="N19" t="e">
        <f>AVERAGE(N17:N18)</f>
        <v>#VALUE!</v>
      </c>
    </row>
    <row r="20" spans="2:14">
      <c r="B20" t="s">
        <v>142</v>
      </c>
    </row>
    <row r="21" spans="2:14">
      <c r="B21" t="s">
        <v>185</v>
      </c>
      <c r="D21">
        <f t="shared" ref="D21:I21" si="1">D20*$C$4</f>
        <v>0</v>
      </c>
      <c r="E21">
        <f t="shared" si="1"/>
        <v>0</v>
      </c>
      <c r="F21">
        <f t="shared" si="1"/>
        <v>0</v>
      </c>
      <c r="G21">
        <f t="shared" si="1"/>
        <v>0</v>
      </c>
      <c r="H21">
        <f t="shared" si="1"/>
        <v>0</v>
      </c>
      <c r="I21">
        <f t="shared" si="1"/>
        <v>0</v>
      </c>
    </row>
    <row r="22" spans="2:14">
      <c r="B22" t="s">
        <v>186</v>
      </c>
    </row>
    <row r="23" spans="2:14">
      <c r="B23" t="s">
        <v>187</v>
      </c>
      <c r="D23">
        <f t="shared" ref="D23:I23" si="2">$C$14</f>
        <v>15000</v>
      </c>
      <c r="E23">
        <f t="shared" si="2"/>
        <v>15000</v>
      </c>
      <c r="F23">
        <f t="shared" si="2"/>
        <v>15000</v>
      </c>
      <c r="G23">
        <f t="shared" si="2"/>
        <v>15000</v>
      </c>
      <c r="H23">
        <f t="shared" si="2"/>
        <v>15000</v>
      </c>
      <c r="I23">
        <f t="shared" si="2"/>
        <v>15000</v>
      </c>
    </row>
    <row r="24" spans="2:14">
      <c r="B24" t="s">
        <v>188</v>
      </c>
    </row>
    <row r="25" spans="2:14">
      <c r="B25" t="s">
        <v>189</v>
      </c>
      <c r="D25">
        <f t="shared" ref="D25:I25" si="3">D20-D21+D22-D23-D24</f>
        <v>-15000</v>
      </c>
      <c r="E25">
        <f t="shared" si="3"/>
        <v>-15000</v>
      </c>
      <c r="F25">
        <f t="shared" si="3"/>
        <v>-15000</v>
      </c>
      <c r="G25">
        <f t="shared" si="3"/>
        <v>-15000</v>
      </c>
      <c r="H25">
        <f t="shared" si="3"/>
        <v>-15000</v>
      </c>
      <c r="I25">
        <f t="shared" si="3"/>
        <v>-15000</v>
      </c>
    </row>
    <row r="26" spans="2:14">
      <c r="B26" t="s">
        <v>190</v>
      </c>
      <c r="C26">
        <f>F36</f>
        <v>330000</v>
      </c>
    </row>
    <row r="27" spans="2:14">
      <c r="B27" t="s">
        <v>191</v>
      </c>
      <c r="C27" s="16"/>
      <c r="D27">
        <f t="shared" ref="D27:I27" si="4">(D26+D25)*D19</f>
        <v>-7500</v>
      </c>
      <c r="E27">
        <f t="shared" si="4"/>
        <v>-15000</v>
      </c>
      <c r="F27">
        <f t="shared" si="4"/>
        <v>-15000</v>
      </c>
      <c r="G27">
        <f t="shared" si="4"/>
        <v>-15000</v>
      </c>
      <c r="H27">
        <f t="shared" si="4"/>
        <v>-15000</v>
      </c>
      <c r="I27">
        <f t="shared" si="4"/>
        <v>-15000</v>
      </c>
    </row>
    <row r="28" spans="2:14">
      <c r="B28" t="s">
        <v>191</v>
      </c>
      <c r="C28">
        <f>C26+C25</f>
        <v>330000</v>
      </c>
      <c r="D28">
        <f t="shared" ref="D28:I28" si="5">(D26+D25)*D19</f>
        <v>-7500</v>
      </c>
      <c r="E28">
        <f t="shared" si="5"/>
        <v>-15000</v>
      </c>
      <c r="F28">
        <f t="shared" si="5"/>
        <v>-15000</v>
      </c>
      <c r="G28">
        <f t="shared" si="5"/>
        <v>-15000</v>
      </c>
      <c r="H28">
        <f t="shared" si="5"/>
        <v>-15000</v>
      </c>
      <c r="I28">
        <f t="shared" si="5"/>
        <v>-15000</v>
      </c>
    </row>
    <row r="32" spans="2:14">
      <c r="B32" s="9" t="s">
        <v>192</v>
      </c>
      <c r="C32" s="9"/>
      <c r="D32" s="9"/>
      <c r="E32" s="9" t="s">
        <v>193</v>
      </c>
      <c r="J32" s="10" t="s">
        <v>194</v>
      </c>
    </row>
    <row r="33" spans="2:12">
      <c r="B33" s="5" t="s">
        <v>195</v>
      </c>
      <c r="C33" s="7">
        <f>NPV(C5,D25:I25,C17:I17)</f>
        <v>58345.272360776667</v>
      </c>
      <c r="D33" s="1"/>
      <c r="E33" s="5" t="s">
        <v>196</v>
      </c>
      <c r="F33">
        <f>C10*C11</f>
        <v>500000</v>
      </c>
      <c r="J33" s="3" t="s">
        <v>197</v>
      </c>
      <c r="K33" s="3"/>
      <c r="L33" s="8">
        <f>C38/F38-1</f>
        <v>-0.54330945527844676</v>
      </c>
    </row>
    <row r="34" spans="2:12">
      <c r="B34" s="5" t="s">
        <v>198</v>
      </c>
      <c r="C34" s="1">
        <f>C13</f>
        <v>200000</v>
      </c>
      <c r="D34" s="1"/>
      <c r="E34" s="5" t="s">
        <v>199</v>
      </c>
      <c r="F34">
        <f>C12</f>
        <v>30000</v>
      </c>
      <c r="J34" s="3" t="s">
        <v>200</v>
      </c>
      <c r="K34" s="3"/>
      <c r="L34" s="8">
        <v>0.25</v>
      </c>
    </row>
    <row r="35" spans="2:12">
      <c r="B35" s="5" t="s">
        <v>201</v>
      </c>
      <c r="C35" s="1">
        <f>C12</f>
        <v>30000</v>
      </c>
      <c r="D35" s="1"/>
      <c r="E35" s="5" t="s">
        <v>202</v>
      </c>
      <c r="F35">
        <f>C13</f>
        <v>200000</v>
      </c>
    </row>
    <row r="36" spans="2:12">
      <c r="B36" s="5" t="s">
        <v>203</v>
      </c>
      <c r="C36" s="7">
        <f>C33+C34-C35</f>
        <v>228345.27236077667</v>
      </c>
      <c r="D36" s="1"/>
      <c r="E36" s="5" t="s">
        <v>195</v>
      </c>
      <c r="F36">
        <f>F33+F34-F35</f>
        <v>330000</v>
      </c>
      <c r="J36" t="s">
        <v>204</v>
      </c>
    </row>
    <row r="37" spans="2:12">
      <c r="B37" s="5"/>
      <c r="C37" s="1"/>
      <c r="D37" s="1"/>
      <c r="E37" s="1"/>
      <c r="J37" s="3" t="s">
        <v>205</v>
      </c>
      <c r="L37">
        <f>F38</f>
        <v>25</v>
      </c>
    </row>
    <row r="38" spans="2:12">
      <c r="B38" s="5" t="s">
        <v>206</v>
      </c>
      <c r="C38" s="7">
        <f>C36/C11</f>
        <v>11.417263618038833</v>
      </c>
      <c r="D38" s="1"/>
      <c r="E38" s="5" t="s">
        <v>206</v>
      </c>
      <c r="F38">
        <v>25</v>
      </c>
      <c r="J38" s="3" t="s">
        <v>207</v>
      </c>
      <c r="L38" s="6">
        <f>C38</f>
        <v>11.417263618038833</v>
      </c>
    </row>
    <row r="39" spans="2:12">
      <c r="B39" s="1"/>
      <c r="C39" s="1"/>
      <c r="D39" s="1"/>
      <c r="E39" s="1"/>
      <c r="J39" s="3" t="s">
        <v>208</v>
      </c>
      <c r="L39" s="6">
        <f>L37+L38</f>
        <v>36.417263618038831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FD55A-D059-4D1B-A2B4-4A66DF844876}">
  <dimension ref="A1:M82"/>
  <sheetViews>
    <sheetView showGridLines="0" topLeftCell="A44" zoomScale="125" workbookViewId="0">
      <selection activeCell="A31" sqref="A31"/>
    </sheetView>
  </sheetViews>
  <sheetFormatPr baseColWidth="10" defaultColWidth="8.83203125" defaultRowHeight="14"/>
  <cols>
    <col min="1" max="1" width="3.83203125" style="83" customWidth="1"/>
    <col min="2" max="2" width="27.5" style="83" customWidth="1"/>
    <col min="3" max="3" width="10.1640625" style="83" bestFit="1" customWidth="1"/>
    <col min="4" max="5" width="8.83203125" style="83"/>
    <col min="6" max="6" width="8.5" style="83" customWidth="1"/>
    <col min="7" max="7" width="7.83203125" style="83" customWidth="1"/>
    <col min="8" max="12" width="8.83203125" style="83"/>
    <col min="13" max="13" width="13.33203125" style="83" customWidth="1"/>
    <col min="14" max="16384" width="8.83203125" style="83"/>
  </cols>
  <sheetData>
    <row r="1" spans="1:13">
      <c r="A1" s="145" t="s">
        <v>209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</row>
    <row r="2" spans="1:13">
      <c r="B2" s="146" t="s">
        <v>210</v>
      </c>
      <c r="C2" s="146"/>
      <c r="D2" s="146"/>
      <c r="E2" s="146"/>
    </row>
    <row r="3" spans="1:13" ht="15">
      <c r="B3" s="49" t="s">
        <v>211</v>
      </c>
      <c r="C3" s="50">
        <v>0.3</v>
      </c>
      <c r="D3" s="150" t="s">
        <v>212</v>
      </c>
      <c r="E3" s="150"/>
    </row>
    <row r="4" spans="1:13" ht="25" customHeight="1">
      <c r="B4" s="49" t="s">
        <v>101</v>
      </c>
      <c r="C4" s="51">
        <f>C3*'DCF Valuation'!C6</f>
        <v>0.14349000000000001</v>
      </c>
      <c r="D4" s="150" t="s">
        <v>213</v>
      </c>
      <c r="E4" s="150"/>
    </row>
    <row r="5" spans="1:13" ht="26" customHeight="1">
      <c r="B5" s="49" t="s">
        <v>103</v>
      </c>
      <c r="C5" s="51">
        <f>(C4/'DCF Valuation'!C8)^(1/6)-1</f>
        <v>-0.1186328083661925</v>
      </c>
      <c r="D5" s="150" t="s">
        <v>104</v>
      </c>
      <c r="E5" s="150"/>
    </row>
    <row r="6" spans="1:13" ht="16" customHeight="1">
      <c r="B6" s="155" t="s">
        <v>214</v>
      </c>
      <c r="C6" s="155"/>
      <c r="D6" s="155"/>
      <c r="E6" s="155"/>
    </row>
    <row r="7" spans="1:13" ht="15">
      <c r="B7" s="49" t="s">
        <v>215</v>
      </c>
      <c r="C7" s="50">
        <v>8.4000000000000005E-2</v>
      </c>
      <c r="D7" s="150"/>
      <c r="E7" s="150"/>
    </row>
    <row r="8" spans="1:13" ht="24" customHeight="1">
      <c r="B8" s="49" t="s">
        <v>112</v>
      </c>
      <c r="C8" s="51">
        <f>(C7/'DCF Valuation'!C17)^(1/6)-1</f>
        <v>-5.6001231250922268E-2</v>
      </c>
      <c r="D8" s="150" t="s">
        <v>216</v>
      </c>
      <c r="E8" s="150"/>
    </row>
    <row r="9" spans="1:13" ht="15">
      <c r="B9" s="49" t="s">
        <v>124</v>
      </c>
      <c r="C9" s="52">
        <v>0.73</v>
      </c>
      <c r="D9" s="150"/>
      <c r="E9" s="150"/>
    </row>
    <row r="11" spans="1:13">
      <c r="C11" s="107">
        <v>2026</v>
      </c>
      <c r="D11" s="107">
        <v>2027</v>
      </c>
      <c r="E11" s="107">
        <v>2028</v>
      </c>
      <c r="F11" s="107">
        <v>2029</v>
      </c>
      <c r="G11" s="107">
        <v>2030</v>
      </c>
      <c r="H11" s="107">
        <v>2031</v>
      </c>
    </row>
    <row r="12" spans="1:13">
      <c r="B12" s="83" t="s">
        <v>139</v>
      </c>
      <c r="C12" s="108" cm="1">
        <f t="array" ref="C12:H12">'DCF Valuation'!C49:H49</f>
        <v>354.78000000000003</v>
      </c>
      <c r="D12" s="108">
        <v>466.18092000000007</v>
      </c>
      <c r="E12" s="108">
        <v>612.56172888000015</v>
      </c>
      <c r="F12" s="108">
        <v>804.9061117483202</v>
      </c>
      <c r="G12" s="108">
        <v>1057.6466308372928</v>
      </c>
      <c r="H12" s="108">
        <v>1389.7476729202028</v>
      </c>
    </row>
    <row r="13" spans="1:13">
      <c r="B13" s="83" t="s">
        <v>140</v>
      </c>
      <c r="C13" s="104">
        <f>'DCF Valuation'!C8*(1+$C$5)^1</f>
        <v>0.26979707376540807</v>
      </c>
      <c r="D13" s="104">
        <f>C13*(1+$C$5)^1</f>
        <v>0.23779028921563691</v>
      </c>
      <c r="E13" s="104">
        <f t="shared" ref="E13:H13" si="0">D13*(1+$C$5)^1</f>
        <v>0.20958055940377676</v>
      </c>
      <c r="F13" s="104">
        <f t="shared" si="0"/>
        <v>0.1847174290627491</v>
      </c>
      <c r="G13" s="104">
        <f t="shared" si="0"/>
        <v>0.16280388169885224</v>
      </c>
      <c r="H13" s="104">
        <f t="shared" si="0"/>
        <v>0.14349000000000003</v>
      </c>
    </row>
    <row r="14" spans="1:13">
      <c r="B14" s="83" t="s">
        <v>141</v>
      </c>
      <c r="C14" s="80">
        <f>C13*C12</f>
        <v>95.718605830491484</v>
      </c>
      <c r="D14" s="80">
        <f t="shared" ref="D14:H14" si="1">D13*D12</f>
        <v>110.85329579361171</v>
      </c>
      <c r="E14" s="80">
        <f t="shared" si="1"/>
        <v>128.38102980801506</v>
      </c>
      <c r="F14" s="80">
        <f t="shared" si="1"/>
        <v>148.68018759904353</v>
      </c>
      <c r="G14" s="80">
        <f t="shared" si="1"/>
        <v>172.18897696602426</v>
      </c>
      <c r="H14" s="80">
        <f t="shared" si="1"/>
        <v>199.41489358731994</v>
      </c>
    </row>
    <row r="15" spans="1:13">
      <c r="B15" s="83" t="s">
        <v>121</v>
      </c>
      <c r="C15" s="104">
        <v>1.2E-2</v>
      </c>
      <c r="D15" s="104">
        <v>1.2E-2</v>
      </c>
      <c r="E15" s="104">
        <v>1.2E-2</v>
      </c>
      <c r="F15" s="104">
        <v>1.2E-2</v>
      </c>
      <c r="G15" s="104">
        <v>1.2E-2</v>
      </c>
      <c r="H15" s="104">
        <v>1.2E-2</v>
      </c>
    </row>
    <row r="16" spans="1:13">
      <c r="B16" s="83" t="s">
        <v>73</v>
      </c>
      <c r="C16" s="80">
        <f>C14*C15</f>
        <v>1.1486232699658978</v>
      </c>
      <c r="D16" s="80">
        <f t="shared" ref="D16:G16" si="2">D14*D15</f>
        <v>1.3302395495233406</v>
      </c>
      <c r="E16" s="80">
        <f t="shared" si="2"/>
        <v>1.5405723576961807</v>
      </c>
      <c r="F16" s="80">
        <f t="shared" si="2"/>
        <v>1.7841622511885225</v>
      </c>
      <c r="G16" s="80">
        <f t="shared" si="2"/>
        <v>2.0662677235922913</v>
      </c>
      <c r="H16" s="80">
        <f>H14*H15</f>
        <v>2.3929787230478392</v>
      </c>
    </row>
    <row r="17" spans="1:13">
      <c r="B17" s="83" t="s">
        <v>110</v>
      </c>
      <c r="C17" s="104">
        <f>'DCF Valuation'!$C$17*(1+$C$8)^1</f>
        <v>0.11205265385051552</v>
      </c>
      <c r="D17" s="104">
        <f>C17*(1+$C$8)^1</f>
        <v>0.10577756726995326</v>
      </c>
      <c r="E17" s="104">
        <f t="shared" ref="E17:H17" si="3">D17*(1+$C$8)^1</f>
        <v>9.9853893264108623E-2</v>
      </c>
      <c r="F17" s="104">
        <f t="shared" si="3"/>
        <v>9.426195229612036E-2</v>
      </c>
      <c r="G17" s="104">
        <f t="shared" si="3"/>
        <v>8.8983166907421918E-2</v>
      </c>
      <c r="H17" s="104">
        <f t="shared" si="3"/>
        <v>8.3999999999999964E-2</v>
      </c>
    </row>
    <row r="18" spans="1:13">
      <c r="B18" s="83" t="s">
        <v>142</v>
      </c>
      <c r="C18" s="80">
        <f>C16*C17</f>
        <v>0.128706285674136</v>
      </c>
      <c r="D18" s="80">
        <f t="shared" ref="D18:H18" si="4">D16*D17</f>
        <v>0.14070950343485747</v>
      </c>
      <c r="E18" s="80">
        <f t="shared" si="4"/>
        <v>0.1538321477710306</v>
      </c>
      <c r="F18" s="80">
        <f t="shared" si="4"/>
        <v>0.16817861701007122</v>
      </c>
      <c r="G18" s="80">
        <f t="shared" si="4"/>
        <v>0.18386304572383158</v>
      </c>
      <c r="H18" s="80">
        <f t="shared" si="4"/>
        <v>0.20101021273601841</v>
      </c>
    </row>
    <row r="20" spans="1:13">
      <c r="B20" s="83" t="s">
        <v>143</v>
      </c>
      <c r="C20" s="80">
        <f>'DCF Valuation'!$C$22*C18</f>
        <v>3.8611885702240799E-2</v>
      </c>
      <c r="D20" s="80">
        <f>'DCF Valuation'!$C$22*D18</f>
        <v>4.2212851030457237E-2</v>
      </c>
      <c r="E20" s="80">
        <f>'DCF Valuation'!$C$22*E18</f>
        <v>4.6149644331309178E-2</v>
      </c>
      <c r="F20" s="80">
        <f>'DCF Valuation'!$C$22*F18</f>
        <v>5.0453585103021364E-2</v>
      </c>
      <c r="G20" s="80">
        <f>'DCF Valuation'!$C$22*G18</f>
        <v>5.5158913717149476E-2</v>
      </c>
      <c r="H20" s="80">
        <f>'DCF Valuation'!$C$22*H18</f>
        <v>6.0303063820805518E-2</v>
      </c>
    </row>
    <row r="21" spans="1:13">
      <c r="B21" s="83" t="s">
        <v>144</v>
      </c>
      <c r="C21" s="80">
        <f>C18-C20</f>
        <v>9.0094399971895195E-2</v>
      </c>
      <c r="D21" s="80">
        <f t="shared" ref="D21:H21" si="5">D18-D20</f>
        <v>9.8496652404400226E-2</v>
      </c>
      <c r="E21" s="80">
        <f t="shared" si="5"/>
        <v>0.10768250343972142</v>
      </c>
      <c r="F21" s="80">
        <f t="shared" si="5"/>
        <v>0.11772503190704986</v>
      </c>
      <c r="G21" s="80">
        <f t="shared" si="5"/>
        <v>0.1287041320066821</v>
      </c>
      <c r="H21" s="80">
        <f t="shared" si="5"/>
        <v>0.14070714891521288</v>
      </c>
    </row>
    <row r="23" spans="1:13">
      <c r="B23" s="83" t="s">
        <v>145</v>
      </c>
      <c r="C23" s="80">
        <f>C16-'DCF Valuation'!C19</f>
        <v>-0.40339051017816718</v>
      </c>
      <c r="D23" s="80">
        <f>D16-C16</f>
        <v>0.18161627955744275</v>
      </c>
      <c r="E23" s="80">
        <f t="shared" ref="E23:G23" si="6">E16-D16</f>
        <v>0.21033280817284017</v>
      </c>
      <c r="F23" s="80">
        <f t="shared" si="6"/>
        <v>0.24358989349234172</v>
      </c>
      <c r="G23" s="80">
        <f t="shared" si="6"/>
        <v>0.28210547240376882</v>
      </c>
      <c r="H23" s="80">
        <f>H16-G16</f>
        <v>0.32671099945554793</v>
      </c>
    </row>
    <row r="24" spans="1:13">
      <c r="B24" s="83" t="s">
        <v>146</v>
      </c>
      <c r="C24" s="80">
        <f>$C$9</f>
        <v>0.73</v>
      </c>
      <c r="D24" s="80">
        <f t="shared" ref="D24:H24" si="7">$C$9</f>
        <v>0.73</v>
      </c>
      <c r="E24" s="80">
        <f t="shared" si="7"/>
        <v>0.73</v>
      </c>
      <c r="F24" s="80">
        <f t="shared" si="7"/>
        <v>0.73</v>
      </c>
      <c r="G24" s="80">
        <f t="shared" si="7"/>
        <v>0.73</v>
      </c>
      <c r="H24" s="80">
        <f t="shared" si="7"/>
        <v>0.73</v>
      </c>
    </row>
    <row r="25" spans="1:13">
      <c r="B25" s="83" t="s">
        <v>147</v>
      </c>
      <c r="C25" s="80">
        <f>C23/C24</f>
        <v>-0.55258973997009209</v>
      </c>
      <c r="D25" s="80">
        <f>D23/D24</f>
        <v>0.24878942405129145</v>
      </c>
      <c r="E25" s="80">
        <f t="shared" ref="E25:H25" si="8">E23/E24</f>
        <v>0.28812713448334271</v>
      </c>
      <c r="F25" s="80">
        <f t="shared" si="8"/>
        <v>0.33368478560594755</v>
      </c>
      <c r="G25" s="80">
        <f t="shared" si="8"/>
        <v>0.38644585260790248</v>
      </c>
      <c r="H25" s="80">
        <f t="shared" si="8"/>
        <v>0.44754931432266842</v>
      </c>
    </row>
    <row r="26" spans="1:13" ht="16" customHeight="1">
      <c r="J26" s="154" t="s">
        <v>180</v>
      </c>
      <c r="K26" s="154"/>
    </row>
    <row r="27" spans="1:13">
      <c r="B27" s="83" t="s">
        <v>148</v>
      </c>
      <c r="C27" s="80">
        <f>C21-C25</f>
        <v>0.64268413994198725</v>
      </c>
      <c r="D27" s="80">
        <f t="shared" ref="D27:H27" si="9">D21-D25</f>
        <v>-0.15029277164689123</v>
      </c>
      <c r="E27" s="80">
        <f t="shared" si="9"/>
        <v>-0.1804446310436213</v>
      </c>
      <c r="F27" s="80">
        <f t="shared" si="9"/>
        <v>-0.21595975369889769</v>
      </c>
      <c r="G27" s="80">
        <f t="shared" si="9"/>
        <v>-0.25774172060122036</v>
      </c>
      <c r="H27" s="80">
        <f t="shared" si="9"/>
        <v>-0.30684216540745557</v>
      </c>
      <c r="J27" s="83" t="s">
        <v>217</v>
      </c>
      <c r="K27" s="51">
        <f>'DCF Valuation'!C43</f>
        <v>8.9577795886736575E-2</v>
      </c>
      <c r="L27" s="150" t="s">
        <v>218</v>
      </c>
      <c r="M27" s="150"/>
    </row>
    <row r="28" spans="1:13">
      <c r="B28" s="83" t="s">
        <v>149</v>
      </c>
      <c r="C28" s="80">
        <f>(1+'DCF Valuation'!$C$43)^1</f>
        <v>1.0895777958867365</v>
      </c>
      <c r="D28" s="80">
        <f>(1+'DCF Valuation'!$C$43)^2</f>
        <v>1.1871797732893989</v>
      </c>
      <c r="E28" s="80">
        <f>(1+'DCF Valuation'!$C$43)^3</f>
        <v>1.2935247207019789</v>
      </c>
      <c r="F28" s="80">
        <f>(1+'DCF Valuation'!$C$43)^4</f>
        <v>1.4093958141074687</v>
      </c>
      <c r="G28" s="80">
        <f>(1+'DCF Valuation'!$C$43)^5</f>
        <v>1.5356463846672084</v>
      </c>
      <c r="H28" s="80">
        <f>(1+'DCF Valuation'!$C$43)^6</f>
        <v>1.6732062030671326</v>
      </c>
      <c r="J28" s="83" t="s">
        <v>219</v>
      </c>
      <c r="K28" s="92">
        <v>0.02</v>
      </c>
      <c r="L28" s="150" t="s">
        <v>220</v>
      </c>
      <c r="M28" s="150"/>
    </row>
    <row r="29" spans="1:13" ht="14" customHeight="1">
      <c r="B29" s="83" t="s">
        <v>150</v>
      </c>
      <c r="C29" s="80">
        <f>C27/C28</f>
        <v>0.58984695022988098</v>
      </c>
      <c r="D29" s="80">
        <f t="shared" ref="D29:H29" si="10">D27/D28</f>
        <v>-0.12659647260537882</v>
      </c>
      <c r="E29" s="80">
        <f t="shared" si="10"/>
        <v>-0.13949840165845176</v>
      </c>
      <c r="F29" s="80">
        <f t="shared" si="10"/>
        <v>-0.15322860443973932</v>
      </c>
      <c r="G29" s="80">
        <f t="shared" si="10"/>
        <v>-0.16783923901665412</v>
      </c>
      <c r="H29" s="80">
        <f t="shared" si="10"/>
        <v>-0.18338574459321699</v>
      </c>
      <c r="J29" s="83" t="s">
        <v>221</v>
      </c>
      <c r="K29" s="109">
        <f>(H27*(1+K28))/(K27-K28)</f>
        <v>-4.4982598935024187</v>
      </c>
      <c r="L29" s="150" t="s">
        <v>222</v>
      </c>
      <c r="M29" s="150"/>
    </row>
    <row r="30" spans="1:13">
      <c r="B30" s="83" t="s">
        <v>151</v>
      </c>
      <c r="C30" s="80"/>
      <c r="D30" s="80"/>
      <c r="E30" s="80"/>
      <c r="F30" s="80"/>
      <c r="G30" s="80"/>
      <c r="H30" s="125">
        <f>SUM(C29:H29)</f>
        <v>-0.18070151208356006</v>
      </c>
      <c r="J30" s="83" t="s">
        <v>157</v>
      </c>
      <c r="K30" s="126">
        <f>K29/((1+K27)^6)</f>
        <v>-2.6884073733749712</v>
      </c>
      <c r="L30" s="42" t="s">
        <v>223</v>
      </c>
      <c r="M30" s="85"/>
    </row>
    <row r="31" spans="1:13">
      <c r="A31" s="140"/>
      <c r="B31" s="140"/>
      <c r="C31" s="140"/>
      <c r="D31" s="140"/>
      <c r="E31" s="140"/>
      <c r="F31" s="140"/>
      <c r="G31" s="140"/>
      <c r="H31" s="140"/>
      <c r="I31" s="140"/>
      <c r="J31" s="140"/>
      <c r="K31" s="141"/>
      <c r="L31" s="140"/>
      <c r="M31" s="140"/>
    </row>
    <row r="32" spans="1:13">
      <c r="B32" s="107" t="s">
        <v>224</v>
      </c>
    </row>
    <row r="33" spans="2:11" ht="16" customHeight="1">
      <c r="B33" s="156" t="s">
        <v>225</v>
      </c>
      <c r="C33" s="156"/>
      <c r="K33" s="113"/>
    </row>
    <row r="34" spans="2:11" ht="16" customHeight="1">
      <c r="B34" s="49" t="s">
        <v>226</v>
      </c>
      <c r="C34" s="84">
        <v>26890</v>
      </c>
      <c r="D34" s="48" t="s">
        <v>227</v>
      </c>
      <c r="K34" s="113"/>
    </row>
    <row r="35" spans="2:11" ht="15">
      <c r="B35" s="49" t="s">
        <v>91</v>
      </c>
      <c r="C35" s="92">
        <v>7.6300000000000007E-2</v>
      </c>
      <c r="D35" s="48" t="s">
        <v>228</v>
      </c>
    </row>
    <row r="36" spans="2:11" ht="15">
      <c r="B36" s="49" t="s">
        <v>229</v>
      </c>
      <c r="C36" s="84">
        <v>18950</v>
      </c>
      <c r="D36" s="48" t="s">
        <v>230</v>
      </c>
    </row>
    <row r="37" spans="2:11" ht="15">
      <c r="B37" s="49" t="s">
        <v>231</v>
      </c>
      <c r="C37" s="84">
        <v>1793.98</v>
      </c>
      <c r="D37" s="48" t="s">
        <v>232</v>
      </c>
    </row>
    <row r="38" spans="2:11">
      <c r="B38" s="83" t="s">
        <v>233</v>
      </c>
      <c r="C38" s="118">
        <f>C36/C34</f>
        <v>0.70472294533283752</v>
      </c>
      <c r="D38" s="48" t="s">
        <v>234</v>
      </c>
    </row>
    <row r="39" spans="2:11">
      <c r="B39" s="83" t="s">
        <v>235</v>
      </c>
      <c r="C39" s="51">
        <f>C37/C36</f>
        <v>9.4669129287598949E-2</v>
      </c>
      <c r="D39" s="48" t="s">
        <v>236</v>
      </c>
    </row>
    <row r="40" spans="2:11">
      <c r="B40" s="83" t="s">
        <v>237</v>
      </c>
      <c r="C40" s="51">
        <f>C39*C38</f>
        <v>6.6715507623651929E-2</v>
      </c>
      <c r="D40" s="48" t="s">
        <v>238</v>
      </c>
    </row>
    <row r="41" spans="2:11">
      <c r="B41" s="83" t="s">
        <v>94</v>
      </c>
      <c r="C41" s="51">
        <f>'DCF Valuation'!C16/C36</f>
        <v>5.0869853001329589E-3</v>
      </c>
      <c r="D41" s="48" t="s">
        <v>239</v>
      </c>
    </row>
    <row r="42" spans="2:11">
      <c r="B42" s="83" t="s">
        <v>97</v>
      </c>
      <c r="C42" s="51">
        <f>C41*C38</f>
        <v>3.5849152635745473E-3</v>
      </c>
      <c r="D42" s="48" t="s">
        <v>238</v>
      </c>
    </row>
    <row r="43" spans="2:11">
      <c r="B43" s="107"/>
    </row>
    <row r="44" spans="2:11">
      <c r="B44" s="107" t="s">
        <v>240</v>
      </c>
    </row>
    <row r="45" spans="2:11">
      <c r="B45" s="83" t="s">
        <v>101</v>
      </c>
      <c r="C45" s="51">
        <f>C40</f>
        <v>6.6715507623651929E-2</v>
      </c>
      <c r="D45" s="48" t="s">
        <v>241</v>
      </c>
    </row>
    <row r="46" spans="2:11">
      <c r="B46" s="83" t="s">
        <v>103</v>
      </c>
      <c r="C46" s="51">
        <f>(C45/C42)^(1/6)-1</f>
        <v>0.62788848069979153</v>
      </c>
      <c r="D46" s="48" t="s">
        <v>242</v>
      </c>
    </row>
    <row r="47" spans="2:11">
      <c r="B47" s="83" t="s">
        <v>243</v>
      </c>
      <c r="C47" s="92">
        <v>0.52159999999999995</v>
      </c>
      <c r="D47" s="48" t="s">
        <v>244</v>
      </c>
    </row>
    <row r="48" spans="2:11">
      <c r="B48" s="83" t="s">
        <v>112</v>
      </c>
      <c r="C48" s="51">
        <f>(C47/'DCF Valuation'!C17)^(1/6)-1</f>
        <v>0.27981681127685554</v>
      </c>
      <c r="D48" s="48" t="s">
        <v>245</v>
      </c>
    </row>
    <row r="49" spans="2:10">
      <c r="B49" s="83" t="s">
        <v>246</v>
      </c>
      <c r="C49" s="105">
        <f>'DCF Valuation'!C32</f>
        <v>2.5</v>
      </c>
      <c r="D49" s="48" t="s">
        <v>247</v>
      </c>
    </row>
    <row r="51" spans="2:10">
      <c r="C51" s="107">
        <v>2026</v>
      </c>
      <c r="D51" s="107">
        <v>2027</v>
      </c>
      <c r="E51" s="107">
        <v>2028</v>
      </c>
      <c r="F51" s="107">
        <v>2029</v>
      </c>
      <c r="G51" s="107">
        <v>2030</v>
      </c>
      <c r="H51" s="107">
        <v>2031</v>
      </c>
    </row>
    <row r="52" spans="2:10">
      <c r="B52" s="83" t="s">
        <v>139</v>
      </c>
      <c r="C52" s="108">
        <f>C34</f>
        <v>26890</v>
      </c>
      <c r="D52" s="108">
        <f>C52*(1+$C$35)^1</f>
        <v>28941.707000000002</v>
      </c>
      <c r="E52" s="108">
        <f t="shared" ref="E52:H52" si="11">D52*(1+$C$35)^1</f>
        <v>31149.959244100002</v>
      </c>
      <c r="F52" s="108">
        <f t="shared" si="11"/>
        <v>33526.701134424831</v>
      </c>
      <c r="G52" s="108">
        <f t="shared" si="11"/>
        <v>36084.788430981447</v>
      </c>
      <c r="H52" s="108">
        <f t="shared" si="11"/>
        <v>38838.057788265331</v>
      </c>
    </row>
    <row r="53" spans="2:10">
      <c r="B53" s="83" t="s">
        <v>140</v>
      </c>
      <c r="C53" s="104">
        <f>C42*(1+$C$46)^1</f>
        <v>5.8358422618578626E-3</v>
      </c>
      <c r="D53" s="104">
        <f>C53*(1+$C$46)^1</f>
        <v>9.5001003932594311E-3</v>
      </c>
      <c r="E53" s="104">
        <f t="shared" ref="E53:H53" si="12">D53*(1+$C$46)^1</f>
        <v>1.5465103995678587E-2</v>
      </c>
      <c r="F53" s="104">
        <f t="shared" si="12"/>
        <v>2.5175464647389491E-2</v>
      </c>
      <c r="G53" s="104">
        <f t="shared" si="12"/>
        <v>4.0982848895750192E-2</v>
      </c>
      <c r="H53" s="104">
        <f t="shared" si="12"/>
        <v>6.6715507623651915E-2</v>
      </c>
    </row>
    <row r="54" spans="2:10">
      <c r="B54" s="83" t="s">
        <v>141</v>
      </c>
      <c r="C54" s="80">
        <f>C53*C52</f>
        <v>156.92579842135794</v>
      </c>
      <c r="D54" s="80">
        <f t="shared" ref="D54" si="13">D53*D52</f>
        <v>274.94912205229923</v>
      </c>
      <c r="E54" s="80">
        <f t="shared" ref="E54" si="14">E53*E52</f>
        <v>481.73735917115607</v>
      </c>
      <c r="F54" s="80">
        <f t="shared" ref="F54" si="15">F53*F52</f>
        <v>844.0502791533055</v>
      </c>
      <c r="G54" s="80">
        <f t="shared" ref="G54" si="16">G53*G52</f>
        <v>1478.8574317020273</v>
      </c>
      <c r="H54" s="80">
        <f t="shared" ref="H54" si="17">H53*H52</f>
        <v>2591.1007404608495</v>
      </c>
    </row>
    <row r="55" spans="2:10">
      <c r="B55" s="83" t="s">
        <v>121</v>
      </c>
      <c r="C55" s="127">
        <v>1.9E-2</v>
      </c>
      <c r="D55" s="127">
        <v>1.9E-2</v>
      </c>
      <c r="E55" s="127">
        <v>1.9E-2</v>
      </c>
      <c r="F55" s="127">
        <v>1.9E-2</v>
      </c>
      <c r="G55" s="127">
        <v>1.9E-2</v>
      </c>
      <c r="H55" s="127">
        <v>1.9E-2</v>
      </c>
    </row>
    <row r="56" spans="2:10">
      <c r="B56" s="83" t="s">
        <v>73</v>
      </c>
      <c r="C56" s="80">
        <f>C54*C55</f>
        <v>2.9815901700058007</v>
      </c>
      <c r="D56" s="80">
        <f t="shared" ref="D56:G56" si="18">D54*D55</f>
        <v>5.2240333189936852</v>
      </c>
      <c r="E56" s="80">
        <f t="shared" si="18"/>
        <v>9.1530098242519653</v>
      </c>
      <c r="F56" s="80">
        <f t="shared" si="18"/>
        <v>16.036955303912805</v>
      </c>
      <c r="G56" s="80">
        <f t="shared" si="18"/>
        <v>28.098291202338519</v>
      </c>
      <c r="H56" s="80">
        <f>H54*H55</f>
        <v>49.230914068756135</v>
      </c>
    </row>
    <row r="57" spans="2:10">
      <c r="B57" s="83" t="s">
        <v>110</v>
      </c>
      <c r="C57" s="104">
        <f>'DCF Valuation'!$C$17*(1+$C$48)^1</f>
        <v>0.15191425549856274</v>
      </c>
      <c r="D57" s="104">
        <f>C57*(1+$C$48)^1</f>
        <v>0.19442241805966809</v>
      </c>
      <c r="E57" s="104">
        <f t="shared" ref="E57:H57" si="19">D57*(1+$C$48)^1</f>
        <v>0.24882507912186014</v>
      </c>
      <c r="F57" s="104">
        <f t="shared" si="19"/>
        <v>0.31845051932745033</v>
      </c>
      <c r="G57" s="104">
        <f t="shared" si="19"/>
        <v>0.40755832819511612</v>
      </c>
      <c r="H57" s="104">
        <f t="shared" si="19"/>
        <v>0.52159999999999962</v>
      </c>
    </row>
    <row r="58" spans="2:10">
      <c r="B58" s="83" t="s">
        <v>142</v>
      </c>
      <c r="C58" s="80">
        <f>C56*C57</f>
        <v>0.45294605087826434</v>
      </c>
      <c r="D58" s="80">
        <f t="shared" ref="D58:H58" si="20">D56*D57</f>
        <v>1.0156691899030257</v>
      </c>
      <c r="E58" s="80">
        <f t="shared" si="20"/>
        <v>2.2774983937226585</v>
      </c>
      <c r="F58" s="80">
        <f t="shared" si="20"/>
        <v>5.1069767449621422</v>
      </c>
      <c r="G58" s="80">
        <f t="shared" si="20"/>
        <v>11.451692587564626</v>
      </c>
      <c r="H58" s="80">
        <f t="shared" si="20"/>
        <v>25.67884477826318</v>
      </c>
    </row>
    <row r="60" spans="2:10">
      <c r="B60" s="83" t="s">
        <v>143</v>
      </c>
      <c r="C60" s="80">
        <f>'DCF Valuation'!$C$22*C58</f>
        <v>0.13588381526347929</v>
      </c>
      <c r="D60" s="80">
        <f>'DCF Valuation'!$C$22*D58</f>
        <v>0.3047007569709077</v>
      </c>
      <c r="E60" s="80">
        <f>'DCF Valuation'!$C$22*E58</f>
        <v>0.68324951811679757</v>
      </c>
      <c r="F60" s="80">
        <f>'DCF Valuation'!$C$22*F58</f>
        <v>1.5320930234886425</v>
      </c>
      <c r="G60" s="80">
        <f>'DCF Valuation'!$C$22*G58</f>
        <v>3.4355077762693877</v>
      </c>
      <c r="H60" s="80">
        <f>'DCF Valuation'!$C$22*H58</f>
        <v>7.7036534334789533</v>
      </c>
    </row>
    <row r="61" spans="2:10">
      <c r="B61" s="83" t="s">
        <v>144</v>
      </c>
      <c r="C61" s="80">
        <f>C58-C60</f>
        <v>0.31706223561478508</v>
      </c>
      <c r="D61" s="80">
        <f t="shared" ref="D61:H61" si="21">D58-D60</f>
        <v>0.71096843293211798</v>
      </c>
      <c r="E61" s="80">
        <f t="shared" si="21"/>
        <v>1.594248875605861</v>
      </c>
      <c r="F61" s="80">
        <f t="shared" si="21"/>
        <v>3.5748837214734994</v>
      </c>
      <c r="G61" s="80">
        <f t="shared" si="21"/>
        <v>8.0161848112952381</v>
      </c>
      <c r="H61" s="80">
        <f t="shared" si="21"/>
        <v>17.975191344784228</v>
      </c>
    </row>
    <row r="63" spans="2:10">
      <c r="B63" s="83" t="s">
        <v>145</v>
      </c>
      <c r="C63" s="80">
        <f>C56-'DCF Valuation'!C19</f>
        <v>1.4295763898617357</v>
      </c>
      <c r="D63" s="80">
        <f>D56-C56</f>
        <v>2.2424431489878844</v>
      </c>
      <c r="E63" s="80">
        <f t="shared" ref="E63" si="22">E56-D56</f>
        <v>3.9289765052582801</v>
      </c>
      <c r="F63" s="80">
        <f t="shared" ref="F63" si="23">F56-E56</f>
        <v>6.8839454796608397</v>
      </c>
      <c r="G63" s="80">
        <f t="shared" ref="G63" si="24">G56-F56</f>
        <v>12.061335898425714</v>
      </c>
      <c r="H63" s="80">
        <f>H56-G56</f>
        <v>21.132622866417616</v>
      </c>
    </row>
    <row r="64" spans="2:10">
      <c r="B64" s="83" t="s">
        <v>146</v>
      </c>
      <c r="C64" s="80">
        <f>$C$49</f>
        <v>2.5</v>
      </c>
      <c r="D64" s="80">
        <f t="shared" ref="D64:H64" si="25">$C$49</f>
        <v>2.5</v>
      </c>
      <c r="E64" s="80">
        <f t="shared" si="25"/>
        <v>2.5</v>
      </c>
      <c r="F64" s="80">
        <f t="shared" si="25"/>
        <v>2.5</v>
      </c>
      <c r="G64" s="80">
        <f t="shared" si="25"/>
        <v>2.5</v>
      </c>
      <c r="H64" s="80">
        <f t="shared" si="25"/>
        <v>2.5</v>
      </c>
      <c r="J64" s="104"/>
    </row>
    <row r="65" spans="2:13">
      <c r="B65" s="83" t="s">
        <v>147</v>
      </c>
      <c r="C65" s="80">
        <f>C63/C64</f>
        <v>0.57183055594469434</v>
      </c>
      <c r="D65" s="80">
        <f>D63/D64</f>
        <v>0.89697725959515373</v>
      </c>
      <c r="E65" s="80">
        <f t="shared" ref="E65:H65" si="26">E63/E64</f>
        <v>1.5715906021033121</v>
      </c>
      <c r="F65" s="80">
        <f t="shared" si="26"/>
        <v>2.7535781918643361</v>
      </c>
      <c r="G65" s="80">
        <f t="shared" si="26"/>
        <v>4.8245343593702854</v>
      </c>
      <c r="H65" s="80">
        <f t="shared" si="26"/>
        <v>8.4530491465670465</v>
      </c>
    </row>
    <row r="66" spans="2:13">
      <c r="J66" s="154" t="s">
        <v>180</v>
      </c>
      <c r="K66" s="154"/>
    </row>
    <row r="67" spans="2:13">
      <c r="B67" s="83" t="s">
        <v>148</v>
      </c>
      <c r="C67" s="80">
        <f>C61-C65</f>
        <v>-0.25476832032990926</v>
      </c>
      <c r="D67" s="80">
        <f t="shared" ref="D67:H67" si="27">D61-D65</f>
        <v>-0.18600882666303575</v>
      </c>
      <c r="E67" s="80">
        <f t="shared" si="27"/>
        <v>2.2658273502548898E-2</v>
      </c>
      <c r="F67" s="80">
        <f t="shared" si="27"/>
        <v>0.82130552960916337</v>
      </c>
      <c r="G67" s="80">
        <f t="shared" si="27"/>
        <v>3.1916504519249527</v>
      </c>
      <c r="H67" s="80">
        <f t="shared" si="27"/>
        <v>9.5221421982171819</v>
      </c>
      <c r="J67" s="83" t="s">
        <v>217</v>
      </c>
      <c r="K67" s="51">
        <f>'DCF Valuation'!C43</f>
        <v>8.9577795886736575E-2</v>
      </c>
      <c r="L67" s="150" t="s">
        <v>218</v>
      </c>
      <c r="M67" s="150"/>
    </row>
    <row r="68" spans="2:13">
      <c r="B68" s="83" t="s">
        <v>149</v>
      </c>
      <c r="C68" s="80">
        <f>(1+'DCF Valuation'!$C$43)^1</f>
        <v>1.0895777958867365</v>
      </c>
      <c r="D68" s="80">
        <f>(1+'DCF Valuation'!$C$43)^2</f>
        <v>1.1871797732893989</v>
      </c>
      <c r="E68" s="80">
        <f>(1+'DCF Valuation'!$C$43)^3</f>
        <v>1.2935247207019789</v>
      </c>
      <c r="F68" s="80">
        <f>(1+'DCF Valuation'!$C$43)^4</f>
        <v>1.4093958141074687</v>
      </c>
      <c r="G68" s="80">
        <f>(1+'DCF Valuation'!$C$43)^5</f>
        <v>1.5356463846672084</v>
      </c>
      <c r="H68" s="80">
        <f>(1+'DCF Valuation'!$C$43)^6</f>
        <v>1.6732062030671326</v>
      </c>
      <c r="J68" s="83" t="s">
        <v>219</v>
      </c>
      <c r="K68" s="92">
        <v>0.04</v>
      </c>
      <c r="L68" s="150" t="s">
        <v>248</v>
      </c>
      <c r="M68" s="150"/>
    </row>
    <row r="69" spans="2:13">
      <c r="B69" s="83" t="s">
        <v>150</v>
      </c>
      <c r="C69" s="80">
        <f>C67/C68</f>
        <v>-0.23382297371668617</v>
      </c>
      <c r="D69" s="80">
        <f t="shared" ref="D69:H69" si="28">D67/D68</f>
        <v>-0.1566812633167162</v>
      </c>
      <c r="E69" s="80">
        <f t="shared" si="28"/>
        <v>1.7516691517308267E-2</v>
      </c>
      <c r="F69" s="80">
        <f t="shared" si="28"/>
        <v>0.58273589391158609</v>
      </c>
      <c r="G69" s="80">
        <f t="shared" si="28"/>
        <v>2.0783759098398287</v>
      </c>
      <c r="H69" s="80">
        <f t="shared" si="28"/>
        <v>5.6909555921812069</v>
      </c>
      <c r="J69" s="83" t="s">
        <v>221</v>
      </c>
      <c r="K69" s="109">
        <f>(H67*(1+K68))/(K67-K68)</f>
        <v>199.74723984845809</v>
      </c>
      <c r="L69" s="150" t="s">
        <v>222</v>
      </c>
      <c r="M69" s="150"/>
    </row>
    <row r="70" spans="2:13">
      <c r="B70" s="83" t="s">
        <v>151</v>
      </c>
      <c r="C70" s="80"/>
      <c r="D70" s="80"/>
      <c r="E70" s="80"/>
      <c r="F70" s="80"/>
      <c r="G70" s="80"/>
      <c r="H70" s="125">
        <f>SUM(C69:H69)</f>
        <v>7.979079850416527</v>
      </c>
      <c r="J70" s="83" t="s">
        <v>157</v>
      </c>
      <c r="K70" s="126">
        <f>K69/((1+K67)^6)</f>
        <v>119.37993026938581</v>
      </c>
      <c r="L70" s="42" t="s">
        <v>223</v>
      </c>
      <c r="M70" s="85"/>
    </row>
    <row r="73" spans="2:13" ht="30" customHeight="1">
      <c r="B73" s="119" t="s">
        <v>249</v>
      </c>
      <c r="C73" s="119" t="s">
        <v>250</v>
      </c>
      <c r="D73" s="119" t="s">
        <v>251</v>
      </c>
      <c r="E73" s="119" t="s">
        <v>51</v>
      </c>
      <c r="F73" s="119" t="s">
        <v>252</v>
      </c>
      <c r="G73" s="120" t="s">
        <v>253</v>
      </c>
    </row>
    <row r="74" spans="2:13">
      <c r="B74" s="103" t="s">
        <v>254</v>
      </c>
      <c r="C74" s="80">
        <f>H30</f>
        <v>-0.18070151208356006</v>
      </c>
      <c r="D74" s="80">
        <f>K30</f>
        <v>-2.6884073733749712</v>
      </c>
      <c r="E74" s="80">
        <f>C74+D74</f>
        <v>-2.8691088854585312</v>
      </c>
      <c r="F74" s="128">
        <v>0.1</v>
      </c>
      <c r="G74" s="80">
        <f>F74*E74</f>
        <v>-0.28691088854585312</v>
      </c>
    </row>
    <row r="75" spans="2:13">
      <c r="B75" s="103" t="s">
        <v>255</v>
      </c>
      <c r="C75" s="80">
        <f>'DCF Valuation'!H67</f>
        <v>0.32758823714089574</v>
      </c>
      <c r="D75" s="80">
        <f>'DCF Valuation'!C74</f>
        <v>2.5326469971008407</v>
      </c>
      <c r="E75" s="80">
        <f>C75+D75</f>
        <v>2.8602352342417365</v>
      </c>
      <c r="F75" s="128">
        <v>0.85</v>
      </c>
      <c r="G75" s="80">
        <f t="shared" ref="G75:G76" si="29">F75*E75</f>
        <v>2.4311999491054759</v>
      </c>
    </row>
    <row r="76" spans="2:13">
      <c r="B76" s="103" t="s">
        <v>256</v>
      </c>
      <c r="C76" s="80">
        <f>H70</f>
        <v>7.979079850416527</v>
      </c>
      <c r="D76" s="80">
        <f>K70</f>
        <v>119.37993026938581</v>
      </c>
      <c r="E76" s="80">
        <f>D76+C76</f>
        <v>127.35901011980233</v>
      </c>
      <c r="F76" s="128">
        <v>0.05</v>
      </c>
      <c r="G76" s="80">
        <f t="shared" si="29"/>
        <v>6.3679505059901169</v>
      </c>
    </row>
    <row r="77" spans="2:13">
      <c r="C77" s="129"/>
    </row>
    <row r="79" spans="2:13">
      <c r="B79" s="154" t="s">
        <v>257</v>
      </c>
      <c r="C79" s="154"/>
    </row>
    <row r="80" spans="2:13">
      <c r="B80" s="83" t="s">
        <v>258</v>
      </c>
      <c r="C80" s="113">
        <f>SUM(G74:G76)</f>
        <v>8.5122395665497397</v>
      </c>
      <c r="D80" s="48" t="s">
        <v>259</v>
      </c>
    </row>
    <row r="81" spans="2:4">
      <c r="B81" s="83" t="s">
        <v>158</v>
      </c>
      <c r="C81" s="113">
        <f>C80-('Comparables '!G30/1000)</f>
        <v>8.123395219540658</v>
      </c>
      <c r="D81" s="48" t="s">
        <v>260</v>
      </c>
    </row>
    <row r="82" spans="2:4">
      <c r="B82" s="83" t="s">
        <v>159</v>
      </c>
      <c r="C82" s="130">
        <f>C81*(1-'Comparables '!C10)</f>
        <v>6.4987161756325271</v>
      </c>
      <c r="D82" s="48" t="s">
        <v>261</v>
      </c>
    </row>
  </sheetData>
  <mergeCells count="19">
    <mergeCell ref="D7:E7"/>
    <mergeCell ref="L29:M29"/>
    <mergeCell ref="B33:C33"/>
    <mergeCell ref="L69:M69"/>
    <mergeCell ref="B79:C79"/>
    <mergeCell ref="A1:M1"/>
    <mergeCell ref="J66:K66"/>
    <mergeCell ref="L68:M68"/>
    <mergeCell ref="L67:M67"/>
    <mergeCell ref="D8:E8"/>
    <mergeCell ref="D9:E9"/>
    <mergeCell ref="B6:E6"/>
    <mergeCell ref="L28:M28"/>
    <mergeCell ref="J26:K26"/>
    <mergeCell ref="L27:M27"/>
    <mergeCell ref="B2:E2"/>
    <mergeCell ref="D3:E3"/>
    <mergeCell ref="D4:E4"/>
    <mergeCell ref="D5:E5"/>
  </mergeCells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7419D-54BF-416E-A9C0-39765AEE8EF6}">
  <dimension ref="A1:M12"/>
  <sheetViews>
    <sheetView showGridLines="0" zoomScale="192" workbookViewId="0">
      <selection sqref="A1:M1"/>
    </sheetView>
  </sheetViews>
  <sheetFormatPr baseColWidth="10" defaultColWidth="8.83203125" defaultRowHeight="14"/>
  <cols>
    <col min="1" max="1" width="4.1640625" style="37" customWidth="1"/>
    <col min="2" max="2" width="14" style="37" customWidth="1"/>
    <col min="3" max="3" width="9.83203125" style="37" bestFit="1" customWidth="1"/>
    <col min="4" max="4" width="8.83203125" style="37"/>
    <col min="5" max="5" width="11.83203125" style="37" bestFit="1" customWidth="1"/>
    <col min="6" max="6" width="15.1640625" style="37" customWidth="1"/>
    <col min="7" max="7" width="12.1640625" style="37" customWidth="1"/>
    <col min="8" max="16384" width="8.83203125" style="37"/>
  </cols>
  <sheetData>
    <row r="1" spans="1:13">
      <c r="A1" s="157" t="s">
        <v>262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</row>
    <row r="3" spans="1:13">
      <c r="B3" s="95" t="s">
        <v>263</v>
      </c>
    </row>
    <row r="4" spans="1:13">
      <c r="B4" s="37" t="s">
        <v>73</v>
      </c>
      <c r="C4" s="94">
        <f>'Comparables '!E30/1000</f>
        <v>1.873335421233949</v>
      </c>
      <c r="D4" s="48" t="s">
        <v>114</v>
      </c>
    </row>
    <row r="5" spans="1:13">
      <c r="B5" s="37" t="s">
        <v>264</v>
      </c>
      <c r="C5" s="92">
        <v>0.31</v>
      </c>
      <c r="D5" s="48" t="s">
        <v>265</v>
      </c>
    </row>
    <row r="6" spans="1:13">
      <c r="B6" s="37" t="s">
        <v>266</v>
      </c>
      <c r="C6" s="94">
        <f>C4*(1+C5)^6</f>
        <v>9.4676745090214425</v>
      </c>
      <c r="D6" s="48" t="s">
        <v>267</v>
      </c>
    </row>
    <row r="7" spans="1:13">
      <c r="B7" s="37" t="s">
        <v>268</v>
      </c>
      <c r="C7" s="92">
        <v>0.25</v>
      </c>
      <c r="D7" s="48" t="s">
        <v>269</v>
      </c>
    </row>
    <row r="8" spans="1:13">
      <c r="C8" s="40"/>
      <c r="G8" s="53"/>
    </row>
    <row r="9" spans="1:13">
      <c r="B9" s="48" t="s">
        <v>270</v>
      </c>
    </row>
    <row r="10" spans="1:13" ht="30">
      <c r="B10" s="121" t="s">
        <v>271</v>
      </c>
      <c r="C10" s="122" t="s">
        <v>40</v>
      </c>
      <c r="D10" s="121" t="s">
        <v>272</v>
      </c>
      <c r="E10" s="121" t="s">
        <v>273</v>
      </c>
      <c r="F10" s="121" t="s">
        <v>274</v>
      </c>
      <c r="G10" s="121" t="s">
        <v>159</v>
      </c>
    </row>
    <row r="11" spans="1:13">
      <c r="B11" s="37" t="s">
        <v>275</v>
      </c>
      <c r="C11" s="40">
        <f>'Comparables '!L27</f>
        <v>1.8767392344497609</v>
      </c>
      <c r="D11" s="40">
        <f>C6*C11</f>
        <v>17.768356210080416</v>
      </c>
      <c r="E11" s="40">
        <f>D11-('Comparables '!C37/1000)</f>
        <v>17.379511863071333</v>
      </c>
      <c r="F11" s="40">
        <f>E11/(1+C7)^6</f>
        <v>4.5559347578329712</v>
      </c>
      <c r="G11" s="117">
        <f>F11*(1-'Comparables '!$C$10)</f>
        <v>3.644747806266377</v>
      </c>
    </row>
    <row r="12" spans="1:13">
      <c r="B12" s="37" t="s">
        <v>131</v>
      </c>
      <c r="C12" s="40">
        <f>'Comparables '!L28</f>
        <v>4.6421391148783915</v>
      </c>
      <c r="D12" s="40">
        <f>C6*C12</f>
        <v>43.950262165265507</v>
      </c>
      <c r="E12" s="40">
        <f>D12-('Comparables '!C38/1000)</f>
        <v>43.950262165265507</v>
      </c>
      <c r="F12" s="40">
        <f>E12/(1+C7)^6</f>
        <v>11.521297525051361</v>
      </c>
      <c r="G12" s="117">
        <f>F12*(1-'Comparables '!$C$10)</f>
        <v>9.2170380200410893</v>
      </c>
    </row>
  </sheetData>
  <mergeCells count="1">
    <mergeCell ref="A1:M1"/>
  </mergeCells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B1DCE-5653-424E-90D5-EF3B742B776C}">
  <dimension ref="A1:M36"/>
  <sheetViews>
    <sheetView showGridLines="0" workbookViewId="0">
      <selection activeCell="Q16" sqref="Q16"/>
    </sheetView>
  </sheetViews>
  <sheetFormatPr baseColWidth="10" defaultColWidth="9" defaultRowHeight="14"/>
  <cols>
    <col min="1" max="1" width="5.33203125" style="37" customWidth="1"/>
    <col min="2" max="2" width="24.33203125" style="37" bestFit="1" customWidth="1"/>
    <col min="3" max="3" width="10.1640625" style="37" bestFit="1" customWidth="1"/>
    <col min="4" max="4" width="9" style="37" bestFit="1" customWidth="1"/>
    <col min="5" max="16384" width="9" style="37"/>
  </cols>
  <sheetData>
    <row r="1" spans="1:13">
      <c r="A1" s="157" t="s">
        <v>276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</row>
    <row r="2" spans="1:13">
      <c r="B2" s="54" t="s">
        <v>277</v>
      </c>
      <c r="C2" s="54" t="s">
        <v>278</v>
      </c>
      <c r="D2" s="54" t="s">
        <v>279</v>
      </c>
      <c r="E2" s="54" t="s">
        <v>280</v>
      </c>
      <c r="F2" s="54" t="s">
        <v>281</v>
      </c>
    </row>
    <row r="3" spans="1:13">
      <c r="B3" s="55" t="s">
        <v>282</v>
      </c>
      <c r="C3" s="40">
        <f>'Comparables '!C44/1000</f>
        <v>2.5015341898441115</v>
      </c>
      <c r="D3" s="40">
        <f>E3-C3</f>
        <v>4.144417239906466</v>
      </c>
      <c r="E3" s="40">
        <f>'Comparables '!D44/1000</f>
        <v>6.6459514297505775</v>
      </c>
      <c r="F3" s="40">
        <f>AVERAGE(C3,E3)</f>
        <v>4.5737428097973449</v>
      </c>
    </row>
    <row r="4" spans="1:13">
      <c r="B4" s="55" t="s">
        <v>283</v>
      </c>
      <c r="C4" s="40">
        <f>'VC Method'!G11</f>
        <v>3.644747806266377</v>
      </c>
      <c r="D4" s="40">
        <f t="shared" ref="D4:D6" si="0">E4-C4</f>
        <v>5.5722902137747123</v>
      </c>
      <c r="E4" s="40">
        <f>'VC Method'!G12</f>
        <v>9.2170380200410893</v>
      </c>
      <c r="F4" s="40">
        <f t="shared" ref="F4" si="1">AVERAGE(C4,E4)</f>
        <v>6.4308929131537331</v>
      </c>
    </row>
    <row r="5" spans="1:13">
      <c r="B5" s="55" t="s">
        <v>284</v>
      </c>
      <c r="C5" s="40">
        <f>'DCF Valuation'!E90*(1-'Comparables '!C10)</f>
        <v>1.1175455726143961</v>
      </c>
      <c r="D5" s="40">
        <f t="shared" si="0"/>
        <v>3.3864406002301943</v>
      </c>
      <c r="E5" s="40">
        <f>'DCF Valuation'!C92*(1-'Comparables '!C10)</f>
        <v>4.5039861728445905</v>
      </c>
      <c r="F5" s="40">
        <f>'DCF Valuation'!C77</f>
        <v>1.9771127097861232</v>
      </c>
    </row>
    <row r="6" spans="1:13">
      <c r="B6" s="55" t="s">
        <v>285</v>
      </c>
      <c r="C6" s="40">
        <f>'DCF Valuation'!C77</f>
        <v>1.9771127097861232</v>
      </c>
      <c r="D6" s="40">
        <f t="shared" si="0"/>
        <v>4.5216034658464039</v>
      </c>
      <c r="E6" s="40">
        <f>'First Chicago'!C82</f>
        <v>6.4987161756325271</v>
      </c>
      <c r="F6" s="40">
        <f>'First Chicago'!C82</f>
        <v>6.4987161756325271</v>
      </c>
    </row>
    <row r="7" spans="1:13">
      <c r="B7" s="56"/>
      <c r="C7" s="56"/>
      <c r="D7" s="56"/>
      <c r="E7" s="56"/>
      <c r="F7" s="56"/>
    </row>
    <row r="8" spans="1:13">
      <c r="B8" s="54" t="s">
        <v>277</v>
      </c>
      <c r="C8" s="54" t="s">
        <v>286</v>
      </c>
      <c r="D8" s="56"/>
      <c r="E8" s="56"/>
      <c r="F8" s="56"/>
    </row>
    <row r="9" spans="1:13">
      <c r="B9" s="55" t="s">
        <v>282</v>
      </c>
      <c r="C9" s="57">
        <v>0.3</v>
      </c>
      <c r="D9" s="56"/>
      <c r="F9" s="56"/>
    </row>
    <row r="10" spans="1:13">
      <c r="B10" s="55" t="s">
        <v>283</v>
      </c>
      <c r="C10" s="57">
        <v>0.1</v>
      </c>
      <c r="D10" s="56"/>
      <c r="E10" s="56"/>
      <c r="F10" s="56"/>
    </row>
    <row r="11" spans="1:13">
      <c r="B11" s="55" t="s">
        <v>284</v>
      </c>
      <c r="C11" s="57">
        <v>0.4</v>
      </c>
      <c r="D11" s="56"/>
      <c r="E11" s="56"/>
      <c r="F11" s="56"/>
    </row>
    <row r="12" spans="1:13">
      <c r="B12" s="55" t="s">
        <v>285</v>
      </c>
      <c r="C12" s="57">
        <v>0.2</v>
      </c>
      <c r="D12" s="56"/>
      <c r="E12" s="56"/>
      <c r="F12" s="56"/>
    </row>
    <row r="13" spans="1:13">
      <c r="B13" s="56"/>
      <c r="C13" s="58"/>
      <c r="D13" s="56"/>
      <c r="E13" s="56"/>
      <c r="F13" s="56"/>
    </row>
    <row r="14" spans="1:13">
      <c r="B14" s="59" t="s">
        <v>287</v>
      </c>
      <c r="C14" s="124">
        <f>SUMPRODUCT(C9:C12,F3:F6)</f>
        <v>4.1058004532955312</v>
      </c>
      <c r="D14" s="56"/>
      <c r="E14" s="56"/>
      <c r="F14" s="56"/>
    </row>
    <row r="15" spans="1:13">
      <c r="B15" s="56" t="s">
        <v>288</v>
      </c>
      <c r="C15" s="41">
        <f>'Cap Table'!F4+'Cap Table'!F5</f>
        <v>626074840</v>
      </c>
      <c r="D15" s="56"/>
      <c r="E15" s="56"/>
      <c r="F15" s="56"/>
    </row>
    <row r="16" spans="1:13">
      <c r="B16" s="55" t="s">
        <v>289</v>
      </c>
      <c r="C16" s="123">
        <f>C14/C15*1000000000</f>
        <v>6.5580026395814457</v>
      </c>
      <c r="D16" s="56"/>
      <c r="E16" s="56"/>
      <c r="F16" s="56"/>
    </row>
    <row r="17" spans="2:7">
      <c r="B17" s="56"/>
      <c r="C17" s="56"/>
      <c r="D17" s="56"/>
      <c r="E17" s="56"/>
      <c r="F17" s="56"/>
    </row>
    <row r="18" spans="2:7">
      <c r="B18" s="56"/>
      <c r="C18" s="60"/>
      <c r="D18" s="56"/>
      <c r="E18" s="56"/>
      <c r="F18" s="61"/>
    </row>
    <row r="19" spans="2:7">
      <c r="B19" s="56"/>
      <c r="C19" s="60"/>
      <c r="D19" s="56"/>
      <c r="E19" s="56"/>
      <c r="F19" s="56"/>
    </row>
    <row r="20" spans="2:7">
      <c r="B20" s="56"/>
      <c r="C20" s="56"/>
      <c r="D20" s="56"/>
      <c r="E20" s="56"/>
      <c r="F20" s="61"/>
      <c r="G20" s="39"/>
    </row>
    <row r="21" spans="2:7">
      <c r="B21" s="56"/>
      <c r="C21" s="56"/>
      <c r="D21" s="56"/>
      <c r="E21" s="56"/>
      <c r="F21" s="61"/>
    </row>
    <row r="22" spans="2:7">
      <c r="B22" s="56"/>
      <c r="C22" s="56"/>
      <c r="D22" s="56"/>
      <c r="E22" s="56"/>
      <c r="F22" s="56"/>
    </row>
    <row r="23" spans="2:7">
      <c r="B23" s="56"/>
      <c r="C23" s="56"/>
      <c r="D23" s="56"/>
      <c r="E23" s="56"/>
      <c r="F23" s="56"/>
    </row>
    <row r="24" spans="2:7">
      <c r="B24" s="56"/>
      <c r="C24" s="56"/>
      <c r="D24" s="56"/>
      <c r="E24" s="56"/>
      <c r="F24" s="60"/>
    </row>
    <row r="25" spans="2:7">
      <c r="B25" s="56"/>
      <c r="C25" s="56"/>
      <c r="D25" s="56"/>
      <c r="E25" s="56"/>
      <c r="F25" s="56"/>
    </row>
    <row r="26" spans="2:7">
      <c r="B26" s="56"/>
      <c r="C26" s="56"/>
      <c r="D26" s="56"/>
      <c r="E26" s="56"/>
      <c r="F26" s="56"/>
    </row>
    <row r="27" spans="2:7">
      <c r="B27" s="56"/>
      <c r="C27" s="56"/>
      <c r="D27" s="56"/>
      <c r="E27" s="56"/>
      <c r="F27" s="56"/>
    </row>
    <row r="28" spans="2:7">
      <c r="B28" s="56"/>
      <c r="C28" s="56"/>
      <c r="D28" s="56"/>
      <c r="E28" s="56"/>
      <c r="F28" s="56"/>
    </row>
    <row r="29" spans="2:7">
      <c r="B29" s="56"/>
      <c r="C29" s="56"/>
      <c r="D29" s="56"/>
      <c r="E29" s="56"/>
      <c r="F29" s="56"/>
    </row>
    <row r="30" spans="2:7">
      <c r="B30" s="56"/>
      <c r="C30" s="56"/>
      <c r="D30" s="56"/>
      <c r="E30" s="56"/>
      <c r="F30" s="56"/>
    </row>
    <row r="31" spans="2:7">
      <c r="B31" s="56"/>
      <c r="C31" s="56"/>
      <c r="D31" s="56"/>
      <c r="E31" s="56"/>
      <c r="F31" s="56"/>
    </row>
    <row r="32" spans="2:7">
      <c r="B32" s="56"/>
      <c r="C32" s="56"/>
      <c r="D32" s="56"/>
      <c r="E32" s="56"/>
      <c r="F32" s="56"/>
    </row>
    <row r="33" spans="2:6">
      <c r="B33" s="56"/>
      <c r="C33" s="56"/>
      <c r="D33" s="56"/>
      <c r="E33" s="56"/>
      <c r="F33" s="56"/>
    </row>
    <row r="34" spans="2:6">
      <c r="B34" s="56"/>
      <c r="C34" s="56"/>
      <c r="D34" s="56"/>
      <c r="E34" s="56"/>
      <c r="F34" s="56"/>
    </row>
    <row r="35" spans="2:6">
      <c r="B35" s="56"/>
      <c r="C35" s="56"/>
      <c r="D35" s="56"/>
      <c r="E35" s="56"/>
      <c r="F35" s="56"/>
    </row>
    <row r="36" spans="2:6">
      <c r="B36" s="56"/>
      <c r="C36" s="56"/>
      <c r="D36" s="56"/>
      <c r="E36" s="56"/>
      <c r="F36" s="56"/>
    </row>
  </sheetData>
  <mergeCells count="1">
    <mergeCell ref="A1:M1"/>
  </mergeCells>
  <pageMargins left="0.7" right="0.7" top="0.75" bottom="0.75" header="0.3" footer="0.3"/>
  <pageSetup paperSize="9" orientation="portrait" horizontalDpi="0" verticalDpi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F1E53-8261-4375-99A3-18C3DCB6F167}">
  <dimension ref="A1:M7"/>
  <sheetViews>
    <sheetView showGridLines="0" tabSelected="1" zoomScale="156" workbookViewId="0">
      <selection activeCell="E9" sqref="E9"/>
    </sheetView>
  </sheetViews>
  <sheetFormatPr baseColWidth="10" defaultColWidth="8.83203125" defaultRowHeight="14"/>
  <cols>
    <col min="1" max="1" width="3.33203125" style="47" customWidth="1"/>
    <col min="2" max="2" width="31" style="47" bestFit="1" customWidth="1"/>
    <col min="3" max="3" width="13.6640625" style="47" customWidth="1"/>
    <col min="4" max="5" width="13.5" style="47" customWidth="1"/>
    <col min="6" max="6" width="14.6640625" style="47" customWidth="1"/>
    <col min="7" max="7" width="13.83203125" style="47" customWidth="1"/>
    <col min="8" max="8" width="32.6640625" style="47" customWidth="1"/>
    <col min="9" max="16384" width="8.83203125" style="47"/>
  </cols>
  <sheetData>
    <row r="1" spans="1:13">
      <c r="A1" s="157" t="s">
        <v>290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</row>
    <row r="3" spans="1:13" ht="30">
      <c r="B3" s="121" t="s">
        <v>291</v>
      </c>
      <c r="C3" s="121" t="s">
        <v>292</v>
      </c>
      <c r="D3" s="121" t="s">
        <v>293</v>
      </c>
      <c r="E3" s="121" t="s">
        <v>294</v>
      </c>
      <c r="F3" s="121" t="s">
        <v>295</v>
      </c>
      <c r="G3" s="121" t="s">
        <v>296</v>
      </c>
      <c r="H3" s="38" t="s">
        <v>38</v>
      </c>
    </row>
    <row r="4" spans="1:13">
      <c r="B4" s="131" t="s">
        <v>297</v>
      </c>
      <c r="C4" s="133">
        <v>5.1100000000000003</v>
      </c>
      <c r="D4" s="136">
        <f>C4*F4/1000000</f>
        <v>3135.6914064000002</v>
      </c>
      <c r="E4" s="135" t="s">
        <v>298</v>
      </c>
      <c r="F4" s="138">
        <v>613638240</v>
      </c>
      <c r="G4" s="132">
        <f>F4/F7</f>
        <v>0.82030266741990698</v>
      </c>
      <c r="H4" s="48"/>
    </row>
    <row r="5" spans="1:13">
      <c r="B5" s="131" t="s">
        <v>299</v>
      </c>
      <c r="C5" s="134" t="s">
        <v>298</v>
      </c>
      <c r="D5" s="137" t="s">
        <v>298</v>
      </c>
      <c r="E5" s="135" t="s">
        <v>298</v>
      </c>
      <c r="F5" s="138">
        <v>12436600</v>
      </c>
      <c r="G5" s="132">
        <f>F5/F7</f>
        <v>1.66250658590547E-2</v>
      </c>
      <c r="H5" s="48"/>
    </row>
    <row r="6" spans="1:13">
      <c r="B6" s="131" t="s">
        <v>300</v>
      </c>
      <c r="C6" s="133">
        <f>'Final Valuation'!C16</f>
        <v>6.5580026395814457</v>
      </c>
      <c r="D6" s="136">
        <v>800</v>
      </c>
      <c r="E6" s="133">
        <f>C6</f>
        <v>6.5580026395814457</v>
      </c>
      <c r="F6" s="138">
        <f>D6*1000000/C6</f>
        <v>121988362.00088184</v>
      </c>
      <c r="G6" s="132">
        <f>F6/F7</f>
        <v>0.16307226672103842</v>
      </c>
      <c r="H6" s="48" t="s">
        <v>301</v>
      </c>
    </row>
    <row r="7" spans="1:13">
      <c r="B7" s="131" t="s">
        <v>302</v>
      </c>
      <c r="D7" s="136">
        <f>SUM(D4:D6)</f>
        <v>3935.6914064000002</v>
      </c>
      <c r="E7" s="135" t="s">
        <v>298</v>
      </c>
      <c r="F7" s="138">
        <f>SUM(F4:F6)</f>
        <v>748063202.00088179</v>
      </c>
      <c r="G7" s="132">
        <f>SUM(G4:G6)</f>
        <v>1</v>
      </c>
      <c r="H7" s="48"/>
    </row>
  </sheetData>
  <mergeCells count="1">
    <mergeCell ref="A1:M1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Sheet3</vt:lpstr>
      <vt:lpstr>Comparables </vt:lpstr>
      <vt:lpstr>DCF Valuation</vt:lpstr>
      <vt:lpstr>Sheet2</vt:lpstr>
      <vt:lpstr>First Chicago</vt:lpstr>
      <vt:lpstr>VC Method</vt:lpstr>
      <vt:lpstr>Final Valuation</vt:lpstr>
      <vt:lpstr>Cap 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Senitha Perera</dc:creator>
  <cp:keywords/>
  <dc:description/>
  <cp:lastModifiedBy>Judy Tang</cp:lastModifiedBy>
  <cp:revision/>
  <dcterms:created xsi:type="dcterms:W3CDTF">2026-03-28T00:29:48Z</dcterms:created>
  <dcterms:modified xsi:type="dcterms:W3CDTF">2026-04-23T11:58:30Z</dcterms:modified>
  <cp:category/>
  <cp:contentStatus/>
</cp:coreProperties>
</file>